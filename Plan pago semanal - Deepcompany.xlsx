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ilso\Downloads\"/>
    </mc:Choice>
  </mc:AlternateContent>
  <xr:revisionPtr revIDLastSave="0" documentId="13_ncr:1_{F61BA1E0-ADF0-4FC9-A69E-A1879AA6711F}" xr6:coauthVersionLast="47" xr6:coauthVersionMax="47" xr10:uidLastSave="{00000000-0000-0000-0000-000000000000}"/>
  <bookViews>
    <workbookView xWindow="0" yWindow="360" windowWidth="23256" windowHeight="12456" tabRatio="500" activeTab="2" xr2:uid="{00000000-000D-0000-FFFF-FFFF00000000}"/>
  </bookViews>
  <sheets>
    <sheet name="Plan de Pago Semanal" sheetId="1" r:id="rId1"/>
    <sheet name="Nómina por persona" sheetId="2" r:id="rId2"/>
    <sheet name="Beneficios y Otros Cost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6" i="3"/>
  <c r="E5" i="3"/>
  <c r="I25" i="2"/>
  <c r="H25" i="2"/>
  <c r="G25" i="2"/>
  <c r="F25" i="2"/>
  <c r="J24" i="2"/>
  <c r="E24" i="2"/>
  <c r="J23" i="2"/>
  <c r="E23" i="2"/>
  <c r="J22" i="2"/>
  <c r="E22" i="2"/>
  <c r="J21" i="2"/>
  <c r="E21" i="2"/>
  <c r="J20" i="2"/>
  <c r="E20" i="2"/>
  <c r="J19" i="2"/>
  <c r="E19" i="2"/>
  <c r="J18" i="2"/>
  <c r="E18" i="2"/>
  <c r="J17" i="2"/>
  <c r="E17" i="2"/>
  <c r="J16" i="2"/>
  <c r="E16" i="2"/>
  <c r="J15" i="2"/>
  <c r="E15" i="2"/>
  <c r="J14" i="2"/>
  <c r="E14" i="2"/>
  <c r="J13" i="2"/>
  <c r="E13" i="2"/>
  <c r="J12" i="2"/>
  <c r="E12" i="2"/>
  <c r="J11" i="2"/>
  <c r="E11" i="2"/>
  <c r="J10" i="2"/>
  <c r="E10" i="2"/>
  <c r="J9" i="2"/>
  <c r="E9" i="2"/>
  <c r="J8" i="2"/>
  <c r="E8" i="2"/>
  <c r="J7" i="2"/>
  <c r="E7" i="2"/>
  <c r="J6" i="2"/>
  <c r="E6" i="2"/>
  <c r="J5" i="2"/>
  <c r="E5" i="2"/>
  <c r="E25" i="2" s="1"/>
  <c r="D49" i="1"/>
  <c r="D48" i="1"/>
  <c r="D47" i="1"/>
  <c r="D46" i="1"/>
  <c r="D45" i="1"/>
  <c r="D44" i="1"/>
  <c r="D43" i="1"/>
  <c r="D42" i="1"/>
  <c r="D41" i="1"/>
  <c r="D39" i="1"/>
  <c r="D37" i="1"/>
  <c r="D36" i="1"/>
  <c r="D35" i="1"/>
  <c r="D34" i="1"/>
  <c r="D33" i="1"/>
  <c r="D31" i="1"/>
  <c r="D29" i="1"/>
  <c r="D28" i="1"/>
  <c r="D27" i="1"/>
  <c r="D26" i="1"/>
  <c r="D25" i="1"/>
  <c r="D24" i="1"/>
  <c r="D23" i="1"/>
  <c r="D22" i="1"/>
  <c r="D20" i="1"/>
  <c r="D18" i="1"/>
  <c r="D17" i="1"/>
  <c r="D16" i="1"/>
  <c r="D15" i="1"/>
  <c r="D14" i="1"/>
  <c r="D13" i="1"/>
  <c r="D11" i="1"/>
  <c r="F7" i="1"/>
  <c r="F8" i="1" s="1"/>
  <c r="E7" i="1"/>
  <c r="D7" i="1"/>
  <c r="C7" i="1"/>
  <c r="F6" i="1"/>
  <c r="E6" i="1"/>
  <c r="D6" i="1"/>
  <c r="C6" i="1"/>
  <c r="E11" i="3" l="1"/>
  <c r="G7" i="1"/>
  <c r="D8" i="1"/>
  <c r="C8" i="1"/>
  <c r="C9" i="1"/>
  <c r="E8" i="1"/>
  <c r="G6" i="1"/>
  <c r="G8" i="1" s="1"/>
</calcChain>
</file>

<file path=xl/sharedStrings.xml><?xml version="1.0" encoding="utf-8"?>
<sst xmlns="http://schemas.openxmlformats.org/spreadsheetml/2006/main" count="228" uniqueCount="115">
  <si>
    <t>DEEPCOMPANY — Plan de Pago Semanal (martes)</t>
  </si>
  <si>
    <t>Sueldos repartidos en 4 cortes semanales. Incluye consolidado con beneficios (fideicomisos, seguro, formaciones, beca, IA).</t>
  </si>
  <si>
    <t>Consolidado por semana</t>
  </si>
  <si>
    <t>Semana 1
(Prod/Proy/Legal)</t>
  </si>
  <si>
    <t>Semana 2
(Admin/Sop/Campo)</t>
  </si>
  <si>
    <t>Semana 3
(Dirección)</t>
  </si>
  <si>
    <t>Semana 4
(Mktg/Operac.)</t>
  </si>
  <si>
    <t>TOTAL MES</t>
  </si>
  <si>
    <t>Nómina</t>
  </si>
  <si>
    <t>Beneficios y otros</t>
  </si>
  <si>
    <t>TOTAL semanal</t>
  </si>
  <si>
    <t>Solo nómina — rango</t>
  </si>
  <si>
    <t>SEMANA 1  ·  Producto · Proyectos · Legal</t>
  </si>
  <si>
    <t>Empleado</t>
  </si>
  <si>
    <t>Rol</t>
  </si>
  <si>
    <t>Monto (USD)</t>
  </si>
  <si>
    <t>Roger Hernandez</t>
  </si>
  <si>
    <t>CEO</t>
  </si>
  <si>
    <t>Roger Hernandez G</t>
  </si>
  <si>
    <t>Asistente de Proyectos</t>
  </si>
  <si>
    <t>Victor Mendoza</t>
  </si>
  <si>
    <t>Líder de Campo (Caracas)</t>
  </si>
  <si>
    <t>Franklin Gonzalez</t>
  </si>
  <si>
    <t>Técnico de Campo (Caracas)</t>
  </si>
  <si>
    <t>Jean Paul Hernandez</t>
  </si>
  <si>
    <t>Coordinador de Soporte</t>
  </si>
  <si>
    <t>Edbin Fernandez</t>
  </si>
  <si>
    <t>Programador / CTO</t>
  </si>
  <si>
    <t>SEMANA 2  ·  Administración · Contabilidad · Soporte · Campo</t>
  </si>
  <si>
    <t>Noribel Mendoza</t>
  </si>
  <si>
    <t>Asistente administrativa</t>
  </si>
  <si>
    <t>Vacante</t>
  </si>
  <si>
    <t>Técnico de Campo (Valencia)</t>
  </si>
  <si>
    <t>Carlos</t>
  </si>
  <si>
    <t>Técnico de Campo (Barquisimeto)</t>
  </si>
  <si>
    <t>Gabriel Hernandez</t>
  </si>
  <si>
    <t>Programador Electrónico</t>
  </si>
  <si>
    <t>Kevin Kilson</t>
  </si>
  <si>
    <t>Coordinador de Operaciones</t>
  </si>
  <si>
    <t>Luis Burgos</t>
  </si>
  <si>
    <t>Vendedor</t>
  </si>
  <si>
    <t>SEMANA 3  ·  Dirección</t>
  </si>
  <si>
    <t>Roderick Bompart</t>
  </si>
  <si>
    <t>Programador Líder</t>
  </si>
  <si>
    <t>Laila Escalante</t>
  </si>
  <si>
    <t>Aprendiz Administrativo</t>
  </si>
  <si>
    <t>Juan Roby</t>
  </si>
  <si>
    <t>Outsourcing contrataciones</t>
  </si>
  <si>
    <t>Naxely Osuna</t>
  </si>
  <si>
    <t>Product Owner UX/UI</t>
  </si>
  <si>
    <t>SEMANA 4  ·  Marketing · Operaciones</t>
  </si>
  <si>
    <t>Elayne Escalante</t>
  </si>
  <si>
    <t>Coordinadora de ventas</t>
  </si>
  <si>
    <t>Coordinador de Marketing</t>
  </si>
  <si>
    <t>Marielby</t>
  </si>
  <si>
    <t>UX/UI</t>
  </si>
  <si>
    <t>Wilver Freites</t>
  </si>
  <si>
    <t>Líder de proyectos</t>
  </si>
  <si>
    <t>Notas:</t>
  </si>
  <si>
    <t>• Nueva base: $17.445/mes (antes $16.690). Cambios: Roger CEO $4.500 (3×$1.500), suben Marielby y Juan a $350,</t>
  </si>
  <si>
    <t xml:space="preserve">   entran Carlos y Laila; Gabriel, Kevin y Luis pasan a 2 pagos/mes; sale Sinamaica de la base.</t>
  </si>
  <si>
    <t>• La Semana 4 quedó más cargada ($4.975) que las otras (~$4.000–$4.245). Si quieres emparejarla, avísame y reacomodo.</t>
  </si>
  <si>
    <t>• Laila Escalante: se le deben 2 meses ($135 c/u). Si hay que saldar el atraso, dime en qué semana(s) cargarlo.</t>
  </si>
  <si>
    <t>• Beneficios y otros (fideicomisos, seguro, formaciones, beca, cuenta AI): la estructura está lista en su pestaña,</t>
  </si>
  <si>
    <t xml:space="preserve">   pero faltan los montos. Cuando me los pases (y la tasa Bs/USD y en qué semana cargar cada uno), el consolidado se completa.</t>
  </si>
  <si>
    <t>Nómina por persona — base mensual y reparto por semana</t>
  </si>
  <si>
    <t>Celdas azules (Semana 1–4) son editables. El monto mensual y los pagos/mes se calculan solos, y el Plan se actualiza automáticamente.</t>
  </si>
  <si>
    <t>Departamento</t>
  </si>
  <si>
    <t>Estado</t>
  </si>
  <si>
    <t>Monto mensual
(USD)</t>
  </si>
  <si>
    <t>Semana 1</t>
  </si>
  <si>
    <t>Semana 2</t>
  </si>
  <si>
    <t>Semana 3</t>
  </si>
  <si>
    <t>Semana 4</t>
  </si>
  <si>
    <t>Pagos
/mes</t>
  </si>
  <si>
    <t>Dirección</t>
  </si>
  <si>
    <t>Activo</t>
  </si>
  <si>
    <t>Proyectos y Fabricación</t>
  </si>
  <si>
    <t>Campo</t>
  </si>
  <si>
    <t>Soporte y Atención</t>
  </si>
  <si>
    <t>Administración y Finanza</t>
  </si>
  <si>
    <t>A contratar</t>
  </si>
  <si>
    <t>Producto y Desarrollo</t>
  </si>
  <si>
    <t>Operaciones y RRHH</t>
  </si>
  <si>
    <t>Marketing y Ventas</t>
  </si>
  <si>
    <t>Legal</t>
  </si>
  <si>
    <t>TOTAL</t>
  </si>
  <si>
    <t>Beneficios y Otros Costos — fideicomisos, seguro, formaciones, beca, IA</t>
  </si>
  <si>
    <t>Rellena las celdas amarillas (montos, tasa Bs y semana de pago). El equivalente en USD y el consolidado se calculan solos.</t>
  </si>
  <si>
    <t>Concepto</t>
  </si>
  <si>
    <t>Monto mensual</t>
  </si>
  <si>
    <t>Moneda</t>
  </si>
  <si>
    <t>Tasa (Bs/USD)</t>
  </si>
  <si>
    <t>Equivalente USD</t>
  </si>
  <si>
    <t>Semana de pago</t>
  </si>
  <si>
    <t>Frecuencia</t>
  </si>
  <si>
    <t>Notas</t>
  </si>
  <si>
    <t>Fideicomiso en dólares</t>
  </si>
  <si>
    <t>USD</t>
  </si>
  <si>
    <t>—</t>
  </si>
  <si>
    <t>Mensual</t>
  </si>
  <si>
    <t>Aporte mensual al fideicomiso en USD</t>
  </si>
  <si>
    <t>Fideicomiso en Bolívares</t>
  </si>
  <si>
    <t>Bs</t>
  </si>
  <si>
    <t>Monto en Bs; se convierte a USD con la tasa indicada</t>
  </si>
  <si>
    <t>Seguro</t>
  </si>
  <si>
    <t>Pólizas HCM / seguro del equipo</t>
  </si>
  <si>
    <t>Formaciones</t>
  </si>
  <si>
    <t>Presupuesto de formación / capacitación</t>
  </si>
  <si>
    <t>Beca corporativa</t>
  </si>
  <si>
    <t>Beca de estudios (p. ej. aprendiz)</t>
  </si>
  <si>
    <t>Cuenta AI</t>
  </si>
  <si>
    <t>Suscripciones de IA (Claude, etc.)</t>
  </si>
  <si>
    <t>TOTAL (USD)</t>
  </si>
  <si>
    <t>Fecha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</si>
</sst>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#,##0;\(#,##0\);\-"/>
  </numFmts>
  <fonts count="19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9"/>
      <color rgb="FF595959"/>
      <name val="Arial"/>
      <charset val="1"/>
    </font>
    <font>
      <b/>
      <sz val="12"/>
      <color rgb="FF1F3864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9"/>
      <color rgb="FF595959"/>
      <name val="Arial"/>
      <charset val="1"/>
    </font>
    <font>
      <b/>
      <sz val="9"/>
      <color rgb="FF000000"/>
      <name val="Arial"/>
      <charset val="1"/>
    </font>
    <font>
      <sz val="10"/>
      <color rgb="FF595959"/>
      <name val="Arial"/>
      <charset val="1"/>
    </font>
    <font>
      <sz val="10"/>
      <color rgb="FF808080"/>
      <name val="Arial"/>
      <charset val="1"/>
    </font>
    <font>
      <b/>
      <sz val="10"/>
      <color rgb="FF1F3864"/>
      <name val="Arial"/>
      <charset val="1"/>
    </font>
    <font>
      <sz val="10"/>
      <color rgb="FF40404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A6A6A6"/>
      <name val="Arial"/>
      <charset val="1"/>
    </font>
    <font>
      <b/>
      <sz val="10"/>
      <color rgb="FF0000F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4D8E"/>
        <bgColor rgb="FF2E5984"/>
      </patternFill>
    </fill>
    <fill>
      <patternFill patternType="solid">
        <fgColor rgb="FFE3F0EF"/>
        <bgColor rgb="FFE3EAF2"/>
      </patternFill>
    </fill>
    <fill>
      <patternFill patternType="solid">
        <fgColor rgb="FFE3EAF2"/>
        <bgColor rgb="FFE3F0EF"/>
      </patternFill>
    </fill>
    <fill>
      <patternFill patternType="solid">
        <fgColor rgb="FFECE8F3"/>
        <bgColor rgb="FFE3EAF2"/>
      </patternFill>
    </fill>
    <fill>
      <patternFill patternType="solid">
        <fgColor rgb="FFF4EEE3"/>
        <bgColor rgb="FFF2F2F2"/>
      </patternFill>
    </fill>
    <fill>
      <patternFill patternType="solid">
        <fgColor rgb="FF2E6E6A"/>
        <bgColor rgb="FF2E5984"/>
      </patternFill>
    </fill>
    <fill>
      <patternFill patternType="solid">
        <fgColor rgb="FF2E5984"/>
        <bgColor rgb="FF2E4D8E"/>
      </patternFill>
    </fill>
    <fill>
      <patternFill patternType="solid">
        <fgColor rgb="FF5B4B8A"/>
        <bgColor rgb="FF595959"/>
      </patternFill>
    </fill>
    <fill>
      <patternFill patternType="solid">
        <fgColor rgb="FF8A6D3B"/>
        <bgColor rgb="FF808080"/>
      </patternFill>
    </fill>
    <fill>
      <patternFill patternType="solid">
        <fgColor rgb="FFFFF2CC"/>
        <bgColor rgb="FFF4EEE3"/>
      </patternFill>
    </fill>
    <fill>
      <patternFill patternType="solid">
        <fgColor rgb="FFF2F2F2"/>
        <bgColor rgb="FFF4EEE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6" fillId="2" borderId="1" xfId="0" applyFont="1" applyFill="1" applyBorder="1"/>
    <xf numFmtId="0" fontId="13" fillId="2" borderId="0" xfId="0" applyFont="1" applyFill="1" applyAlignment="1">
      <alignment horizontal="left" vertical="center" indent="1"/>
    </xf>
    <xf numFmtId="0" fontId="12" fillId="0" borderId="0" xfId="0" applyFont="1"/>
    <xf numFmtId="0" fontId="11" fillId="0" borderId="0" xfId="0" applyFont="1"/>
    <xf numFmtId="0" fontId="6" fillId="11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left" vertical="center" indent="1"/>
    </xf>
    <xf numFmtId="0" fontId="8" fillId="0" borderId="0" xfId="0" applyFont="1"/>
    <xf numFmtId="0" fontId="2" fillId="0" borderId="0" xfId="0" applyFont="1" applyAlignment="1">
      <alignment horizontal="left" inden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4" borderId="1" xfId="0" applyNumberFormat="1" applyFont="1" applyFill="1" applyBorder="1" applyAlignment="1">
      <alignment horizontal="right"/>
    </xf>
    <xf numFmtId="164" fontId="5" fillId="5" borderId="1" xfId="0" applyNumberFormat="1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6" fillId="2" borderId="1" xfId="0" applyFont="1" applyFill="1" applyBorder="1"/>
    <xf numFmtId="164" fontId="6" fillId="2" borderId="1" xfId="0" applyNumberFormat="1" applyFont="1" applyFill="1" applyBorder="1" applyAlignment="1">
      <alignment horizontal="right"/>
    </xf>
    <xf numFmtId="0" fontId="7" fillId="0" borderId="0" xfId="0" applyFont="1"/>
    <xf numFmtId="164" fontId="6" fillId="8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right"/>
    </xf>
    <xf numFmtId="0" fontId="5" fillId="4" borderId="1" xfId="0" applyFont="1" applyFill="1" applyBorder="1"/>
    <xf numFmtId="0" fontId="9" fillId="4" borderId="1" xfId="0" applyFont="1" applyFill="1" applyBorder="1"/>
    <xf numFmtId="164" fontId="6" fillId="9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5" fillId="5" borderId="1" xfId="0" applyFont="1" applyFill="1" applyBorder="1"/>
    <xf numFmtId="0" fontId="9" fillId="5" borderId="1" xfId="0" applyFont="1" applyFill="1" applyBorder="1"/>
    <xf numFmtId="0" fontId="10" fillId="5" borderId="1" xfId="0" applyFont="1" applyFill="1" applyBorder="1"/>
    <xf numFmtId="164" fontId="6" fillId="10" borderId="1" xfId="0" applyNumberFormat="1" applyFont="1" applyFill="1" applyBorder="1" applyAlignment="1">
      <alignment horizontal="right"/>
    </xf>
    <xf numFmtId="0" fontId="7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right"/>
    </xf>
    <xf numFmtId="0" fontId="5" fillId="6" borderId="1" xfId="0" applyFont="1" applyFill="1" applyBorder="1"/>
    <xf numFmtId="0" fontId="9" fillId="6" borderId="1" xfId="0" applyFont="1" applyFill="1" applyBorder="1"/>
    <xf numFmtId="164" fontId="6" fillId="11" borderId="1" xfId="0" applyNumberFormat="1" applyFont="1" applyFill="1" applyBorder="1" applyAlignment="1">
      <alignment horizontal="right"/>
    </xf>
    <xf numFmtId="0" fontId="7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right"/>
    </xf>
    <xf numFmtId="0" fontId="5" fillId="7" borderId="1" xfId="0" applyFont="1" applyFill="1" applyBorder="1"/>
    <xf numFmtId="0" fontId="9" fillId="7" borderId="1" xfId="0" applyFont="1" applyFill="1" applyBorder="1"/>
    <xf numFmtId="0" fontId="10" fillId="7" borderId="1" xfId="0" applyFont="1" applyFill="1" applyBorder="1"/>
    <xf numFmtId="0" fontId="14" fillId="3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164" fontId="16" fillId="12" borderId="1" xfId="0" applyNumberFormat="1" applyFont="1" applyFill="1" applyBorder="1" applyAlignment="1">
      <alignment horizontal="right"/>
    </xf>
    <xf numFmtId="164" fontId="16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center"/>
    </xf>
    <xf numFmtId="0" fontId="15" fillId="13" borderId="1" xfId="0" applyFont="1" applyFill="1" applyBorder="1"/>
    <xf numFmtId="0" fontId="5" fillId="13" borderId="1" xfId="0" applyFont="1" applyFill="1" applyBorder="1"/>
    <xf numFmtId="0" fontId="10" fillId="13" borderId="1" xfId="0" applyFont="1" applyFill="1" applyBorder="1"/>
    <xf numFmtId="0" fontId="0" fillId="2" borderId="1" xfId="0" applyFill="1" applyBorder="1"/>
    <xf numFmtId="165" fontId="16" fillId="12" borderId="1" xfId="0" applyNumberFormat="1" applyFont="1" applyFill="1" applyBorder="1" applyAlignment="1">
      <alignment horizontal="right"/>
    </xf>
    <xf numFmtId="0" fontId="17" fillId="0" borderId="1" xfId="0" applyFont="1" applyBorder="1" applyAlignment="1">
      <alignment horizontal="center"/>
    </xf>
    <xf numFmtId="164" fontId="15" fillId="0" borderId="1" xfId="0" applyNumberFormat="1" applyFont="1" applyBorder="1" applyAlignment="1">
      <alignment horizontal="right"/>
    </xf>
    <xf numFmtId="0" fontId="18" fillId="12" borderId="1" xfId="0" applyFont="1" applyFill="1" applyBorder="1" applyAlignment="1">
      <alignment horizontal="center"/>
    </xf>
    <xf numFmtId="0" fontId="2" fillId="0" borderId="1" xfId="0" applyFont="1" applyBorder="1"/>
    <xf numFmtId="165" fontId="16" fillId="12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14" fontId="5" fillId="4" borderId="1" xfId="0" applyNumberFormat="1" applyFont="1" applyFill="1" applyBorder="1"/>
    <xf numFmtId="14" fontId="5" fillId="5" borderId="1" xfId="0" applyNumberFormat="1" applyFont="1" applyFill="1" applyBorder="1"/>
    <xf numFmtId="14" fontId="5" fillId="7" borderId="1" xfId="0" applyNumberFormat="1" applyFont="1" applyFill="1" applyBorder="1"/>
    <xf numFmtId="14" fontId="10" fillId="7" borderId="1" xfId="0" applyNumberFormat="1" applyFont="1" applyFill="1" applyBorder="1"/>
    <xf numFmtId="14" fontId="5" fillId="6" borderId="1" xfId="0" applyNumberFormat="1" applyFont="1" applyFill="1" applyBorder="1"/>
    <xf numFmtId="14" fontId="10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3B"/>
      <rgbColor rgb="FF800080"/>
      <rgbColor rgb="FF2E6E6A"/>
      <rgbColor rgb="FFBFBFBF"/>
      <rgbColor rgb="FF808080"/>
      <rgbColor rgb="FF9999FF"/>
      <rgbColor rgb="FF595959"/>
      <rgbColor rgb="FFFFF2CC"/>
      <rgbColor rgb="FFE3F0EF"/>
      <rgbColor rgb="FF660066"/>
      <rgbColor rgb="FFFF8080"/>
      <rgbColor rgb="FF2E5984"/>
      <rgbColor rgb="FFECE8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AF2"/>
      <rgbColor rgb="FFF2F2F2"/>
      <rgbColor rgb="FFF4EE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4B8A"/>
      <rgbColor rgb="FFA6A6A6"/>
      <rgbColor rgb="FF1F3864"/>
      <rgbColor rgb="FF339966"/>
      <rgbColor rgb="FF003300"/>
      <rgbColor rgb="FF333300"/>
      <rgbColor rgb="FF993300"/>
      <rgbColor rgb="FF993366"/>
      <rgbColor rgb="FF2E4D8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zoomScaleNormal="100" workbookViewId="0">
      <selection activeCell="F14" sqref="F14"/>
    </sheetView>
  </sheetViews>
  <sheetFormatPr defaultColWidth="8.6640625" defaultRowHeight="14.4" x14ac:dyDescent="0.3"/>
  <cols>
    <col min="1" max="1" width="23.88671875" customWidth="1"/>
    <col min="2" max="2" width="15.5546875" customWidth="1"/>
    <col min="3" max="6" width="36.88671875" customWidth="1"/>
    <col min="7" max="7" width="18.33203125" customWidth="1"/>
  </cols>
  <sheetData>
    <row r="1" spans="1:7" ht="30" customHeight="1" x14ac:dyDescent="0.3">
      <c r="A1" s="59" t="s">
        <v>0</v>
      </c>
      <c r="B1" s="59"/>
      <c r="C1" s="59"/>
      <c r="D1" s="59"/>
      <c r="E1" s="59"/>
      <c r="F1" s="59"/>
      <c r="G1" s="59"/>
    </row>
    <row r="2" spans="1:7" x14ac:dyDescent="0.3">
      <c r="A2" s="10" t="s">
        <v>1</v>
      </c>
      <c r="B2" s="10"/>
      <c r="C2" s="10"/>
      <c r="D2" s="10"/>
      <c r="E2" s="10"/>
    </row>
    <row r="4" spans="1:7" ht="15.6" x14ac:dyDescent="0.3">
      <c r="A4" s="11" t="s">
        <v>2</v>
      </c>
      <c r="B4" s="11"/>
    </row>
    <row r="5" spans="1:7" ht="31.5" customHeight="1" x14ac:dyDescent="0.3">
      <c r="A5" s="12"/>
      <c r="B5" s="12"/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</row>
    <row r="6" spans="1:7" x14ac:dyDescent="0.3">
      <c r="A6" s="13" t="s">
        <v>8</v>
      </c>
      <c r="B6" s="13"/>
      <c r="C6" s="14">
        <f>SUM('Nómina por persona'!F5:F24)</f>
        <v>4000</v>
      </c>
      <c r="D6" s="15">
        <f>SUM('Nómina por persona'!G5:G24)</f>
        <v>4225</v>
      </c>
      <c r="E6" s="16">
        <f>SUM('Nómina por persona'!H5:H24)</f>
        <v>4245</v>
      </c>
      <c r="F6" s="17">
        <f>SUM('Nómina por persona'!I5:I24)</f>
        <v>4975</v>
      </c>
      <c r="G6" s="18">
        <f>SUM(C6:F6)</f>
        <v>17445</v>
      </c>
    </row>
    <row r="7" spans="1:7" x14ac:dyDescent="0.3">
      <c r="A7" s="13" t="s">
        <v>9</v>
      </c>
      <c r="B7" s="13"/>
      <c r="C7" s="14">
        <f>SUMIF('Beneficios y Otros Costos'!$F$5:$F$10,1,'Beneficios y Otros Costos'!$E$5:$E$10)</f>
        <v>0</v>
      </c>
      <c r="D7" s="15">
        <f>SUMIF('Beneficios y Otros Costos'!$F$5:$F$10,2,'Beneficios y Otros Costos'!$E$5:$E$10)</f>
        <v>0</v>
      </c>
      <c r="E7" s="16">
        <f>SUMIF('Beneficios y Otros Costos'!$F$5:$F$10,3,'Beneficios y Otros Costos'!$E$5:$E$10)</f>
        <v>0</v>
      </c>
      <c r="F7" s="17">
        <f>SUMIF('Beneficios y Otros Costos'!$F$5:$F$10,4,'Beneficios y Otros Costos'!$E$5:$E$10)</f>
        <v>0</v>
      </c>
      <c r="G7" s="18">
        <f>SUM(C7:F7)</f>
        <v>0</v>
      </c>
    </row>
    <row r="8" spans="1:7" x14ac:dyDescent="0.3">
      <c r="A8" s="19" t="s">
        <v>10</v>
      </c>
      <c r="B8" s="19"/>
      <c r="C8" s="20">
        <f>SUM(C6:C7)</f>
        <v>4000</v>
      </c>
      <c r="D8" s="20">
        <f>SUM(D6:D7)</f>
        <v>4225</v>
      </c>
      <c r="E8" s="20">
        <f>SUM(E6:E7)</f>
        <v>4245</v>
      </c>
      <c r="F8" s="20">
        <f>SUM(F6:F7)</f>
        <v>4975</v>
      </c>
      <c r="G8" s="20">
        <f>SUM(G6:G7)</f>
        <v>17445</v>
      </c>
    </row>
    <row r="9" spans="1:7" x14ac:dyDescent="0.3">
      <c r="A9" s="21" t="s">
        <v>11</v>
      </c>
      <c r="B9" s="21"/>
      <c r="C9" s="9" t="str">
        <f>TEXT(MIN(C6:F6),"$#,##0")&amp;" – "&amp;TEXT(MAX(C6:F6),"$#,##0")</f>
        <v>$4000,0 – $4975,0</v>
      </c>
      <c r="D9" s="9"/>
    </row>
    <row r="11" spans="1:7" ht="21.75" customHeight="1" x14ac:dyDescent="0.3">
      <c r="A11" s="8" t="s">
        <v>12</v>
      </c>
      <c r="B11" s="8"/>
      <c r="C11" s="8"/>
      <c r="D11" s="22">
        <f>SUM('Nómina por persona'!F5:F24)</f>
        <v>4000</v>
      </c>
    </row>
    <row r="12" spans="1:7" x14ac:dyDescent="0.3">
      <c r="A12" s="23" t="s">
        <v>13</v>
      </c>
      <c r="B12" s="23" t="s">
        <v>114</v>
      </c>
      <c r="C12" s="23" t="s">
        <v>14</v>
      </c>
      <c r="D12" s="24" t="s">
        <v>15</v>
      </c>
    </row>
    <row r="13" spans="1:7" x14ac:dyDescent="0.3">
      <c r="A13" s="25" t="s">
        <v>16</v>
      </c>
      <c r="B13" s="60">
        <v>45658</v>
      </c>
      <c r="C13" s="26" t="s">
        <v>17</v>
      </c>
      <c r="D13" s="14">
        <f>'Nómina por persona'!F5</f>
        <v>1500</v>
      </c>
    </row>
    <row r="14" spans="1:7" x14ac:dyDescent="0.3">
      <c r="A14" s="25" t="s">
        <v>18</v>
      </c>
      <c r="B14" s="60">
        <v>46023</v>
      </c>
      <c r="C14" s="26" t="s">
        <v>19</v>
      </c>
      <c r="D14" s="14">
        <f>'Nómina por persona'!F6</f>
        <v>200</v>
      </c>
    </row>
    <row r="15" spans="1:7" x14ac:dyDescent="0.3">
      <c r="A15" s="25" t="s">
        <v>20</v>
      </c>
      <c r="B15" s="60">
        <v>45658</v>
      </c>
      <c r="C15" s="26" t="s">
        <v>21</v>
      </c>
      <c r="D15" s="14">
        <f>'Nómina por persona'!F7</f>
        <v>450</v>
      </c>
    </row>
    <row r="16" spans="1:7" x14ac:dyDescent="0.3">
      <c r="A16" s="25" t="s">
        <v>22</v>
      </c>
      <c r="B16" s="60">
        <v>45658</v>
      </c>
      <c r="C16" s="26" t="s">
        <v>23</v>
      </c>
      <c r="D16" s="14">
        <f>'Nómina por persona'!F8</f>
        <v>400</v>
      </c>
    </row>
    <row r="17" spans="1:4" x14ac:dyDescent="0.3">
      <c r="A17" s="25" t="s">
        <v>24</v>
      </c>
      <c r="B17" s="60">
        <v>45811</v>
      </c>
      <c r="C17" s="26" t="s">
        <v>25</v>
      </c>
      <c r="D17" s="14">
        <f>'Nómina por persona'!F9</f>
        <v>450</v>
      </c>
    </row>
    <row r="18" spans="1:4" x14ac:dyDescent="0.3">
      <c r="A18" s="25" t="s">
        <v>26</v>
      </c>
      <c r="B18" s="60">
        <v>46023</v>
      </c>
      <c r="C18" s="26" t="s">
        <v>27</v>
      </c>
      <c r="D18" s="14">
        <f>'Nómina por persona'!F10</f>
        <v>1000</v>
      </c>
    </row>
    <row r="20" spans="1:4" ht="21.75" customHeight="1" x14ac:dyDescent="0.3">
      <c r="A20" s="7" t="s">
        <v>28</v>
      </c>
      <c r="B20" s="7"/>
      <c r="C20" s="7"/>
      <c r="D20" s="27">
        <f>SUM('Nómina por persona'!G5:G24)</f>
        <v>4225</v>
      </c>
    </row>
    <row r="21" spans="1:4" x14ac:dyDescent="0.3">
      <c r="A21" s="28" t="s">
        <v>13</v>
      </c>
      <c r="B21" s="28" t="s">
        <v>114</v>
      </c>
      <c r="C21" s="28" t="s">
        <v>14</v>
      </c>
      <c r="D21" s="29" t="s">
        <v>15</v>
      </c>
    </row>
    <row r="22" spans="1:4" x14ac:dyDescent="0.3">
      <c r="A22" s="30" t="s">
        <v>29</v>
      </c>
      <c r="B22" s="61">
        <v>46034</v>
      </c>
      <c r="C22" s="31" t="s">
        <v>30</v>
      </c>
      <c r="D22" s="15">
        <f>'Nómina por persona'!G11</f>
        <v>400</v>
      </c>
    </row>
    <row r="23" spans="1:4" x14ac:dyDescent="0.3">
      <c r="A23" s="30" t="s">
        <v>16</v>
      </c>
      <c r="B23" s="61">
        <v>46023</v>
      </c>
      <c r="C23" s="31" t="s">
        <v>17</v>
      </c>
      <c r="D23" s="15">
        <f>'Nómina por persona'!G5</f>
        <v>1500</v>
      </c>
    </row>
    <row r="24" spans="1:4" x14ac:dyDescent="0.3">
      <c r="A24" s="30" t="s">
        <v>26</v>
      </c>
      <c r="B24" s="61">
        <v>46023</v>
      </c>
      <c r="C24" s="31" t="s">
        <v>27</v>
      </c>
      <c r="D24" s="15">
        <f>'Nómina por persona'!G10</f>
        <v>1000</v>
      </c>
    </row>
    <row r="25" spans="1:4" x14ac:dyDescent="0.3">
      <c r="A25" s="32" t="s">
        <v>31</v>
      </c>
      <c r="B25" s="65"/>
      <c r="C25" s="31" t="s">
        <v>32</v>
      </c>
      <c r="D25" s="15">
        <f>'Nómina por persona'!G12</f>
        <v>175</v>
      </c>
    </row>
    <row r="26" spans="1:4" x14ac:dyDescent="0.3">
      <c r="A26" s="30" t="s">
        <v>33</v>
      </c>
      <c r="B26" s="61">
        <v>46181</v>
      </c>
      <c r="C26" s="31" t="s">
        <v>34</v>
      </c>
      <c r="D26" s="15">
        <f>'Nómina por persona'!G13</f>
        <v>175</v>
      </c>
    </row>
    <row r="27" spans="1:4" x14ac:dyDescent="0.3">
      <c r="A27" s="30" t="s">
        <v>35</v>
      </c>
      <c r="B27" s="61">
        <v>46118</v>
      </c>
      <c r="C27" s="31" t="s">
        <v>36</v>
      </c>
      <c r="D27" s="15">
        <f>'Nómina por persona'!G14</f>
        <v>400</v>
      </c>
    </row>
    <row r="28" spans="1:4" x14ac:dyDescent="0.3">
      <c r="A28" s="30" t="s">
        <v>37</v>
      </c>
      <c r="B28" s="61">
        <v>46097</v>
      </c>
      <c r="C28" s="31" t="s">
        <v>38</v>
      </c>
      <c r="D28" s="15">
        <f>'Nómina por persona'!G15</f>
        <v>400</v>
      </c>
    </row>
    <row r="29" spans="1:4" x14ac:dyDescent="0.3">
      <c r="A29" s="30" t="s">
        <v>39</v>
      </c>
      <c r="B29" s="61">
        <v>45834</v>
      </c>
      <c r="C29" s="31" t="s">
        <v>40</v>
      </c>
      <c r="D29" s="15">
        <f>'Nómina por persona'!G16</f>
        <v>175</v>
      </c>
    </row>
    <row r="31" spans="1:4" ht="21.75" customHeight="1" x14ac:dyDescent="0.3">
      <c r="A31" s="6" t="s">
        <v>41</v>
      </c>
      <c r="B31" s="6"/>
      <c r="C31" s="6"/>
      <c r="D31" s="33">
        <f>SUM('Nómina por persona'!H5:H24)</f>
        <v>4245</v>
      </c>
    </row>
    <row r="32" spans="1:4" x14ac:dyDescent="0.3">
      <c r="A32" s="34" t="s">
        <v>13</v>
      </c>
      <c r="B32" s="34" t="s">
        <v>114</v>
      </c>
      <c r="C32" s="34" t="s">
        <v>14</v>
      </c>
      <c r="D32" s="35" t="s">
        <v>15</v>
      </c>
    </row>
    <row r="33" spans="1:4" x14ac:dyDescent="0.3">
      <c r="A33" s="36" t="s">
        <v>42</v>
      </c>
      <c r="B33" s="64">
        <v>46155</v>
      </c>
      <c r="C33" s="37" t="s">
        <v>43</v>
      </c>
      <c r="D33" s="16">
        <f>'Nómina por persona'!H17</f>
        <v>1260</v>
      </c>
    </row>
    <row r="34" spans="1:4" x14ac:dyDescent="0.3">
      <c r="A34" s="36" t="s">
        <v>44</v>
      </c>
      <c r="B34" s="64"/>
      <c r="C34" s="37" t="s">
        <v>45</v>
      </c>
      <c r="D34" s="16">
        <f>'Nómina por persona'!H18</f>
        <v>135</v>
      </c>
    </row>
    <row r="35" spans="1:4" x14ac:dyDescent="0.3">
      <c r="A35" s="36" t="s">
        <v>46</v>
      </c>
      <c r="B35" s="64">
        <v>46023</v>
      </c>
      <c r="C35" s="37" t="s">
        <v>47</v>
      </c>
      <c r="D35" s="16">
        <f>'Nómina por persona'!H19</f>
        <v>350</v>
      </c>
    </row>
    <row r="36" spans="1:4" x14ac:dyDescent="0.3">
      <c r="A36" s="36" t="s">
        <v>48</v>
      </c>
      <c r="B36" s="64">
        <v>46168</v>
      </c>
      <c r="C36" s="37" t="s">
        <v>49</v>
      </c>
      <c r="D36" s="16">
        <f>'Nómina por persona'!H20</f>
        <v>1000</v>
      </c>
    </row>
    <row r="37" spans="1:4" x14ac:dyDescent="0.3">
      <c r="A37" s="36" t="s">
        <v>16</v>
      </c>
      <c r="B37" s="64">
        <v>46023</v>
      </c>
      <c r="C37" s="37" t="s">
        <v>17</v>
      </c>
      <c r="D37" s="16">
        <f>'Nómina por persona'!H5</f>
        <v>1500</v>
      </c>
    </row>
    <row r="39" spans="1:4" ht="21.75" customHeight="1" x14ac:dyDescent="0.3">
      <c r="A39" s="5" t="s">
        <v>50</v>
      </c>
      <c r="B39" s="5"/>
      <c r="C39" s="5"/>
      <c r="D39" s="38">
        <f>SUM('Nómina por persona'!I5:I24)</f>
        <v>4975</v>
      </c>
    </row>
    <row r="40" spans="1:4" x14ac:dyDescent="0.3">
      <c r="A40" s="39" t="s">
        <v>13</v>
      </c>
      <c r="B40" s="39" t="s">
        <v>114</v>
      </c>
      <c r="C40" s="39" t="s">
        <v>14</v>
      </c>
      <c r="D40" s="40" t="s">
        <v>15</v>
      </c>
    </row>
    <row r="41" spans="1:4" x14ac:dyDescent="0.3">
      <c r="A41" s="41" t="s">
        <v>51</v>
      </c>
      <c r="B41" s="62">
        <v>46023</v>
      </c>
      <c r="C41" s="42" t="s">
        <v>52</v>
      </c>
      <c r="D41" s="17">
        <f>'Nómina por persona'!I21</f>
        <v>1500</v>
      </c>
    </row>
    <row r="42" spans="1:4" x14ac:dyDescent="0.3">
      <c r="A42" s="41" t="s">
        <v>39</v>
      </c>
      <c r="B42" s="62">
        <v>45834</v>
      </c>
      <c r="C42" s="42" t="s">
        <v>40</v>
      </c>
      <c r="D42" s="17">
        <f>'Nómina por persona'!I16</f>
        <v>175</v>
      </c>
    </row>
    <row r="43" spans="1:4" x14ac:dyDescent="0.3">
      <c r="A43" s="43" t="s">
        <v>31</v>
      </c>
      <c r="B43" s="63"/>
      <c r="C43" s="42" t="s">
        <v>53</v>
      </c>
      <c r="D43" s="17">
        <f>'Nómina por persona'!I22</f>
        <v>1000</v>
      </c>
    </row>
    <row r="44" spans="1:4" x14ac:dyDescent="0.3">
      <c r="A44" s="41" t="s">
        <v>35</v>
      </c>
      <c r="B44" s="62">
        <v>46118</v>
      </c>
      <c r="C44" s="42" t="s">
        <v>36</v>
      </c>
      <c r="D44" s="17">
        <f>'Nómina por persona'!I14</f>
        <v>400</v>
      </c>
    </row>
    <row r="45" spans="1:4" x14ac:dyDescent="0.3">
      <c r="A45" s="43" t="s">
        <v>31</v>
      </c>
      <c r="B45" s="63"/>
      <c r="C45" s="42" t="s">
        <v>32</v>
      </c>
      <c r="D45" s="17">
        <f>'Nómina por persona'!I12</f>
        <v>175</v>
      </c>
    </row>
    <row r="46" spans="1:4" x14ac:dyDescent="0.3">
      <c r="A46" s="41" t="s">
        <v>33</v>
      </c>
      <c r="B46" s="62">
        <v>46181</v>
      </c>
      <c r="C46" s="42" t="s">
        <v>34</v>
      </c>
      <c r="D46" s="17">
        <f>'Nómina por persona'!I13</f>
        <v>175</v>
      </c>
    </row>
    <row r="47" spans="1:4" x14ac:dyDescent="0.3">
      <c r="A47" s="41" t="s">
        <v>54</v>
      </c>
      <c r="B47" s="62">
        <v>46023</v>
      </c>
      <c r="C47" s="42" t="s">
        <v>55</v>
      </c>
      <c r="D47" s="17">
        <f>'Nómina por persona'!I23</f>
        <v>350</v>
      </c>
    </row>
    <row r="48" spans="1:4" x14ac:dyDescent="0.3">
      <c r="A48" s="41" t="s">
        <v>56</v>
      </c>
      <c r="B48" s="62">
        <v>46174</v>
      </c>
      <c r="C48" s="42" t="s">
        <v>57</v>
      </c>
      <c r="D48" s="17">
        <f>'Nómina por persona'!I24</f>
        <v>800</v>
      </c>
    </row>
    <row r="49" spans="1:5" x14ac:dyDescent="0.3">
      <c r="A49" s="41" t="s">
        <v>37</v>
      </c>
      <c r="B49" s="62">
        <v>46097</v>
      </c>
      <c r="C49" s="42" t="s">
        <v>38</v>
      </c>
      <c r="D49" s="17">
        <f>'Nómina por persona'!I15</f>
        <v>400</v>
      </c>
    </row>
    <row r="51" spans="1:5" x14ac:dyDescent="0.3">
      <c r="A51" s="4" t="s">
        <v>58</v>
      </c>
      <c r="B51" s="4"/>
      <c r="C51" s="4"/>
      <c r="D51" s="4"/>
      <c r="E51" s="4"/>
    </row>
    <row r="52" spans="1:5" x14ac:dyDescent="0.3">
      <c r="A52" s="3" t="s">
        <v>59</v>
      </c>
      <c r="B52" s="3"/>
      <c r="C52" s="3"/>
      <c r="D52" s="3"/>
      <c r="E52" s="3"/>
    </row>
    <row r="53" spans="1:5" x14ac:dyDescent="0.3">
      <c r="A53" s="3" t="s">
        <v>60</v>
      </c>
      <c r="B53" s="3"/>
      <c r="C53" s="3"/>
      <c r="D53" s="3"/>
      <c r="E53" s="3"/>
    </row>
    <row r="54" spans="1:5" x14ac:dyDescent="0.3">
      <c r="A54" s="3" t="s">
        <v>61</v>
      </c>
      <c r="B54" s="3"/>
      <c r="C54" s="3"/>
      <c r="D54" s="3"/>
      <c r="E54" s="3"/>
    </row>
    <row r="55" spans="1:5" x14ac:dyDescent="0.3">
      <c r="A55" s="3" t="s">
        <v>62</v>
      </c>
      <c r="B55" s="3"/>
      <c r="C55" s="3"/>
      <c r="D55" s="3"/>
      <c r="E55" s="3"/>
    </row>
    <row r="56" spans="1:5" x14ac:dyDescent="0.3">
      <c r="A56" s="3" t="s">
        <v>63</v>
      </c>
      <c r="B56" s="3"/>
      <c r="C56" s="3"/>
      <c r="D56" s="3"/>
      <c r="E56" s="3"/>
    </row>
    <row r="57" spans="1:5" x14ac:dyDescent="0.3">
      <c r="A57" s="3" t="s">
        <v>64</v>
      </c>
      <c r="B57" s="3"/>
      <c r="C57" s="3"/>
      <c r="D57" s="3"/>
      <c r="E57" s="3"/>
    </row>
  </sheetData>
  <mergeCells count="14">
    <mergeCell ref="A54:E54"/>
    <mergeCell ref="A55:E55"/>
    <mergeCell ref="A56:E56"/>
    <mergeCell ref="A57:E57"/>
    <mergeCell ref="A1:G1"/>
    <mergeCell ref="A31:C31"/>
    <mergeCell ref="A39:C39"/>
    <mergeCell ref="A51:E51"/>
    <mergeCell ref="A52:E52"/>
    <mergeCell ref="A53:E53"/>
    <mergeCell ref="A2:E2"/>
    <mergeCell ref="C9:D9"/>
    <mergeCell ref="A11:C11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zoomScaleNormal="100" workbookViewId="0">
      <pane ySplit="4" topLeftCell="A5" activePane="bottomLeft" state="frozen"/>
      <selection pane="bottomLeft" activeCell="M19" sqref="M19"/>
    </sheetView>
  </sheetViews>
  <sheetFormatPr defaultColWidth="8.6640625" defaultRowHeight="14.4" x14ac:dyDescent="0.3"/>
  <cols>
    <col min="1" max="2" width="22" customWidth="1"/>
    <col min="3" max="3" width="30" customWidth="1"/>
    <col min="4" max="4" width="12" customWidth="1"/>
    <col min="5" max="5" width="13" customWidth="1"/>
    <col min="6" max="9" width="10" customWidth="1"/>
    <col min="10" max="10" width="8" customWidth="1"/>
  </cols>
  <sheetData>
    <row r="1" spans="1:10" ht="25.5" customHeight="1" x14ac:dyDescent="0.3">
      <c r="A1" s="2" t="s">
        <v>65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10" t="s">
        <v>66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30" customHeight="1" x14ac:dyDescent="0.3">
      <c r="A4" s="44" t="s">
        <v>67</v>
      </c>
      <c r="B4" s="44" t="s">
        <v>13</v>
      </c>
      <c r="C4" s="44" t="s">
        <v>14</v>
      </c>
      <c r="D4" s="44" t="s">
        <v>68</v>
      </c>
      <c r="E4" s="44" t="s">
        <v>69</v>
      </c>
      <c r="F4" s="44" t="s">
        <v>70</v>
      </c>
      <c r="G4" s="44" t="s">
        <v>71</v>
      </c>
      <c r="H4" s="44" t="s">
        <v>72</v>
      </c>
      <c r="I4" s="44" t="s">
        <v>73</v>
      </c>
      <c r="J4" s="44" t="s">
        <v>74</v>
      </c>
    </row>
    <row r="5" spans="1:10" x14ac:dyDescent="0.3">
      <c r="A5" s="45" t="s">
        <v>75</v>
      </c>
      <c r="B5" s="13" t="s">
        <v>16</v>
      </c>
      <c r="C5" s="45" t="s">
        <v>17</v>
      </c>
      <c r="D5" s="45" t="s">
        <v>76</v>
      </c>
      <c r="E5" s="18">
        <f t="shared" ref="E5:E24" si="0">SUM(F5:I5)</f>
        <v>4500</v>
      </c>
      <c r="F5" s="46">
        <v>1500</v>
      </c>
      <c r="G5" s="46">
        <v>1500</v>
      </c>
      <c r="H5" s="46">
        <v>1500</v>
      </c>
      <c r="I5" s="47"/>
      <c r="J5" s="48">
        <f t="shared" ref="J5:J24" si="1">COUNTIF(F5:I5,"&gt;0")</f>
        <v>3</v>
      </c>
    </row>
    <row r="6" spans="1:10" x14ac:dyDescent="0.3">
      <c r="A6" s="49" t="s">
        <v>77</v>
      </c>
      <c r="B6" s="50" t="s">
        <v>18</v>
      </c>
      <c r="C6" s="49" t="s">
        <v>19</v>
      </c>
      <c r="D6" s="49" t="s">
        <v>76</v>
      </c>
      <c r="E6" s="18">
        <f t="shared" si="0"/>
        <v>200</v>
      </c>
      <c r="F6" s="46">
        <v>200</v>
      </c>
      <c r="G6" s="47"/>
      <c r="H6" s="47"/>
      <c r="I6" s="47"/>
      <c r="J6" s="48">
        <f t="shared" si="1"/>
        <v>1</v>
      </c>
    </row>
    <row r="7" spans="1:10" x14ac:dyDescent="0.3">
      <c r="A7" s="45" t="s">
        <v>78</v>
      </c>
      <c r="B7" s="13" t="s">
        <v>20</v>
      </c>
      <c r="C7" s="45" t="s">
        <v>21</v>
      </c>
      <c r="D7" s="45" t="s">
        <v>76</v>
      </c>
      <c r="E7" s="18">
        <f t="shared" si="0"/>
        <v>450</v>
      </c>
      <c r="F7" s="46">
        <v>450</v>
      </c>
      <c r="G7" s="47"/>
      <c r="H7" s="47"/>
      <c r="I7" s="47"/>
      <c r="J7" s="48">
        <f t="shared" si="1"/>
        <v>1</v>
      </c>
    </row>
    <row r="8" spans="1:10" x14ac:dyDescent="0.3">
      <c r="A8" s="49" t="s">
        <v>78</v>
      </c>
      <c r="B8" s="50" t="s">
        <v>22</v>
      </c>
      <c r="C8" s="49" t="s">
        <v>23</v>
      </c>
      <c r="D8" s="49" t="s">
        <v>76</v>
      </c>
      <c r="E8" s="18">
        <f t="shared" si="0"/>
        <v>400</v>
      </c>
      <c r="F8" s="46">
        <v>400</v>
      </c>
      <c r="G8" s="47"/>
      <c r="H8" s="47"/>
      <c r="I8" s="47"/>
      <c r="J8" s="48">
        <f t="shared" si="1"/>
        <v>1</v>
      </c>
    </row>
    <row r="9" spans="1:10" x14ac:dyDescent="0.3">
      <c r="A9" s="45" t="s">
        <v>79</v>
      </c>
      <c r="B9" s="13" t="s">
        <v>24</v>
      </c>
      <c r="C9" s="45" t="s">
        <v>25</v>
      </c>
      <c r="D9" s="45" t="s">
        <v>76</v>
      </c>
      <c r="E9" s="18">
        <f t="shared" si="0"/>
        <v>450</v>
      </c>
      <c r="F9" s="46">
        <v>450</v>
      </c>
      <c r="G9" s="47"/>
      <c r="H9" s="47"/>
      <c r="I9" s="47"/>
      <c r="J9" s="48">
        <f t="shared" si="1"/>
        <v>1</v>
      </c>
    </row>
    <row r="10" spans="1:10" x14ac:dyDescent="0.3">
      <c r="A10" s="49" t="s">
        <v>79</v>
      </c>
      <c r="B10" s="50" t="s">
        <v>26</v>
      </c>
      <c r="C10" s="49" t="s">
        <v>27</v>
      </c>
      <c r="D10" s="49" t="s">
        <v>76</v>
      </c>
      <c r="E10" s="18">
        <f t="shared" si="0"/>
        <v>2000</v>
      </c>
      <c r="F10" s="46">
        <v>1000</v>
      </c>
      <c r="G10" s="46">
        <v>1000</v>
      </c>
      <c r="H10" s="47"/>
      <c r="I10" s="47"/>
      <c r="J10" s="48">
        <f t="shared" si="1"/>
        <v>2</v>
      </c>
    </row>
    <row r="11" spans="1:10" x14ac:dyDescent="0.3">
      <c r="A11" s="45" t="s">
        <v>80</v>
      </c>
      <c r="B11" s="13" t="s">
        <v>29</v>
      </c>
      <c r="C11" s="45" t="s">
        <v>30</v>
      </c>
      <c r="D11" s="45" t="s">
        <v>76</v>
      </c>
      <c r="E11" s="18">
        <f t="shared" si="0"/>
        <v>400</v>
      </c>
      <c r="F11" s="47"/>
      <c r="G11" s="46">
        <v>400</v>
      </c>
      <c r="H11" s="47"/>
      <c r="I11" s="47"/>
      <c r="J11" s="48">
        <f t="shared" si="1"/>
        <v>1</v>
      </c>
    </row>
    <row r="12" spans="1:10" x14ac:dyDescent="0.3">
      <c r="A12" s="49" t="s">
        <v>78</v>
      </c>
      <c r="B12" s="51" t="s">
        <v>31</v>
      </c>
      <c r="C12" s="49" t="s">
        <v>32</v>
      </c>
      <c r="D12" s="49" t="s">
        <v>81</v>
      </c>
      <c r="E12" s="18">
        <f t="shared" si="0"/>
        <v>350</v>
      </c>
      <c r="F12" s="47"/>
      <c r="G12" s="46">
        <v>175</v>
      </c>
      <c r="H12" s="47"/>
      <c r="I12" s="46">
        <v>175</v>
      </c>
      <c r="J12" s="48">
        <f t="shared" si="1"/>
        <v>2</v>
      </c>
    </row>
    <row r="13" spans="1:10" x14ac:dyDescent="0.3">
      <c r="A13" s="45" t="s">
        <v>78</v>
      </c>
      <c r="B13" s="13" t="s">
        <v>33</v>
      </c>
      <c r="C13" s="45" t="s">
        <v>34</v>
      </c>
      <c r="D13" s="45" t="s">
        <v>76</v>
      </c>
      <c r="E13" s="18">
        <f t="shared" si="0"/>
        <v>350</v>
      </c>
      <c r="F13" s="47"/>
      <c r="G13" s="46">
        <v>175</v>
      </c>
      <c r="H13" s="47"/>
      <c r="I13" s="46">
        <v>175</v>
      </c>
      <c r="J13" s="48">
        <f t="shared" si="1"/>
        <v>2</v>
      </c>
    </row>
    <row r="14" spans="1:10" x14ac:dyDescent="0.3">
      <c r="A14" s="49" t="s">
        <v>82</v>
      </c>
      <c r="B14" s="50" t="s">
        <v>35</v>
      </c>
      <c r="C14" s="49" t="s">
        <v>36</v>
      </c>
      <c r="D14" s="49" t="s">
        <v>76</v>
      </c>
      <c r="E14" s="18">
        <f t="shared" si="0"/>
        <v>800</v>
      </c>
      <c r="F14" s="47"/>
      <c r="G14" s="46">
        <v>400</v>
      </c>
      <c r="H14" s="47"/>
      <c r="I14" s="46">
        <v>400</v>
      </c>
      <c r="J14" s="48">
        <f t="shared" si="1"/>
        <v>2</v>
      </c>
    </row>
    <row r="15" spans="1:10" x14ac:dyDescent="0.3">
      <c r="A15" s="45" t="s">
        <v>83</v>
      </c>
      <c r="B15" s="13" t="s">
        <v>37</v>
      </c>
      <c r="C15" s="45" t="s">
        <v>38</v>
      </c>
      <c r="D15" s="45" t="s">
        <v>76</v>
      </c>
      <c r="E15" s="18">
        <f t="shared" si="0"/>
        <v>800</v>
      </c>
      <c r="F15" s="47"/>
      <c r="G15" s="46">
        <v>400</v>
      </c>
      <c r="H15" s="47"/>
      <c r="I15" s="46">
        <v>400</v>
      </c>
      <c r="J15" s="48">
        <f t="shared" si="1"/>
        <v>2</v>
      </c>
    </row>
    <row r="16" spans="1:10" x14ac:dyDescent="0.3">
      <c r="A16" s="49" t="s">
        <v>84</v>
      </c>
      <c r="B16" s="50" t="s">
        <v>39</v>
      </c>
      <c r="C16" s="49" t="s">
        <v>40</v>
      </c>
      <c r="D16" s="49" t="s">
        <v>76</v>
      </c>
      <c r="E16" s="18">
        <f t="shared" si="0"/>
        <v>350</v>
      </c>
      <c r="F16" s="47"/>
      <c r="G16" s="46">
        <v>175</v>
      </c>
      <c r="H16" s="47"/>
      <c r="I16" s="46">
        <v>175</v>
      </c>
      <c r="J16" s="48">
        <f t="shared" si="1"/>
        <v>2</v>
      </c>
    </row>
    <row r="17" spans="1:10" x14ac:dyDescent="0.3">
      <c r="A17" s="45" t="s">
        <v>82</v>
      </c>
      <c r="B17" s="13" t="s">
        <v>42</v>
      </c>
      <c r="C17" s="45" t="s">
        <v>43</v>
      </c>
      <c r="D17" s="45" t="s">
        <v>76</v>
      </c>
      <c r="E17" s="18">
        <f t="shared" si="0"/>
        <v>1260</v>
      </c>
      <c r="F17" s="47"/>
      <c r="G17" s="47"/>
      <c r="H17" s="46">
        <v>1260</v>
      </c>
      <c r="I17" s="47"/>
      <c r="J17" s="48">
        <f t="shared" si="1"/>
        <v>1</v>
      </c>
    </row>
    <row r="18" spans="1:10" x14ac:dyDescent="0.3">
      <c r="A18" s="49" t="s">
        <v>80</v>
      </c>
      <c r="B18" s="50" t="s">
        <v>44</v>
      </c>
      <c r="C18" s="49" t="s">
        <v>45</v>
      </c>
      <c r="D18" s="49" t="s">
        <v>76</v>
      </c>
      <c r="E18" s="18">
        <f t="shared" si="0"/>
        <v>135</v>
      </c>
      <c r="F18" s="47"/>
      <c r="G18" s="47"/>
      <c r="H18" s="46">
        <v>135</v>
      </c>
      <c r="I18" s="47"/>
      <c r="J18" s="48">
        <f t="shared" si="1"/>
        <v>1</v>
      </c>
    </row>
    <row r="19" spans="1:10" x14ac:dyDescent="0.3">
      <c r="A19" s="45" t="s">
        <v>85</v>
      </c>
      <c r="B19" s="13" t="s">
        <v>46</v>
      </c>
      <c r="C19" s="45" t="s">
        <v>47</v>
      </c>
      <c r="D19" s="45" t="s">
        <v>76</v>
      </c>
      <c r="E19" s="18">
        <f t="shared" si="0"/>
        <v>350</v>
      </c>
      <c r="F19" s="47"/>
      <c r="G19" s="47"/>
      <c r="H19" s="46">
        <v>350</v>
      </c>
      <c r="I19" s="47"/>
      <c r="J19" s="48">
        <f t="shared" si="1"/>
        <v>1</v>
      </c>
    </row>
    <row r="20" spans="1:10" x14ac:dyDescent="0.3">
      <c r="A20" s="49" t="s">
        <v>82</v>
      </c>
      <c r="B20" s="50" t="s">
        <v>48</v>
      </c>
      <c r="C20" s="49" t="s">
        <v>49</v>
      </c>
      <c r="D20" s="49" t="s">
        <v>76</v>
      </c>
      <c r="E20" s="18">
        <f t="shared" si="0"/>
        <v>1000</v>
      </c>
      <c r="F20" s="47"/>
      <c r="G20" s="47"/>
      <c r="H20" s="46">
        <v>1000</v>
      </c>
      <c r="I20" s="47"/>
      <c r="J20" s="48">
        <f t="shared" si="1"/>
        <v>1</v>
      </c>
    </row>
    <row r="21" spans="1:10" x14ac:dyDescent="0.3">
      <c r="A21" s="45" t="s">
        <v>84</v>
      </c>
      <c r="B21" s="13" t="s">
        <v>51</v>
      </c>
      <c r="C21" s="45" t="s">
        <v>52</v>
      </c>
      <c r="D21" s="45" t="s">
        <v>76</v>
      </c>
      <c r="E21" s="18">
        <f t="shared" si="0"/>
        <v>1500</v>
      </c>
      <c r="F21" s="47"/>
      <c r="G21" s="47"/>
      <c r="H21" s="47"/>
      <c r="I21" s="46">
        <v>1500</v>
      </c>
      <c r="J21" s="48">
        <f t="shared" si="1"/>
        <v>1</v>
      </c>
    </row>
    <row r="22" spans="1:10" x14ac:dyDescent="0.3">
      <c r="A22" s="49" t="s">
        <v>84</v>
      </c>
      <c r="B22" s="51" t="s">
        <v>31</v>
      </c>
      <c r="C22" s="49" t="s">
        <v>53</v>
      </c>
      <c r="D22" s="49" t="s">
        <v>31</v>
      </c>
      <c r="E22" s="18">
        <f t="shared" si="0"/>
        <v>1000</v>
      </c>
      <c r="F22" s="47"/>
      <c r="G22" s="47"/>
      <c r="H22" s="47"/>
      <c r="I22" s="46">
        <v>1000</v>
      </c>
      <c r="J22" s="48">
        <f t="shared" si="1"/>
        <v>1</v>
      </c>
    </row>
    <row r="23" spans="1:10" x14ac:dyDescent="0.3">
      <c r="A23" s="45" t="s">
        <v>82</v>
      </c>
      <c r="B23" s="13" t="s">
        <v>54</v>
      </c>
      <c r="C23" s="45" t="s">
        <v>55</v>
      </c>
      <c r="D23" s="45" t="s">
        <v>76</v>
      </c>
      <c r="E23" s="18">
        <f t="shared" si="0"/>
        <v>350</v>
      </c>
      <c r="F23" s="47"/>
      <c r="G23" s="47"/>
      <c r="H23" s="47"/>
      <c r="I23" s="46">
        <v>350</v>
      </c>
      <c r="J23" s="48">
        <f t="shared" si="1"/>
        <v>1</v>
      </c>
    </row>
    <row r="24" spans="1:10" x14ac:dyDescent="0.3">
      <c r="A24" s="49" t="s">
        <v>77</v>
      </c>
      <c r="B24" s="50" t="s">
        <v>56</v>
      </c>
      <c r="C24" s="49" t="s">
        <v>57</v>
      </c>
      <c r="D24" s="49" t="s">
        <v>76</v>
      </c>
      <c r="E24" s="18">
        <f t="shared" si="0"/>
        <v>800</v>
      </c>
      <c r="F24" s="47"/>
      <c r="G24" s="47"/>
      <c r="H24" s="47"/>
      <c r="I24" s="46">
        <v>800</v>
      </c>
      <c r="J24" s="48">
        <f t="shared" si="1"/>
        <v>1</v>
      </c>
    </row>
    <row r="25" spans="1:10" x14ac:dyDescent="0.3">
      <c r="A25" s="1" t="s">
        <v>86</v>
      </c>
      <c r="B25" s="1"/>
      <c r="C25" s="1"/>
      <c r="D25" s="1"/>
      <c r="E25" s="20">
        <f>SUM(E5:E24)</f>
        <v>17445</v>
      </c>
      <c r="F25" s="20">
        <f>SUM(F5:F24)</f>
        <v>4000</v>
      </c>
      <c r="G25" s="20">
        <f>SUM(G5:G24)</f>
        <v>4225</v>
      </c>
      <c r="H25" s="20">
        <f>SUM(H5:H24)</f>
        <v>4245</v>
      </c>
      <c r="I25" s="20">
        <f>SUM(I5:I24)</f>
        <v>4975</v>
      </c>
      <c r="J25" s="52"/>
    </row>
  </sheetData>
  <mergeCells count="3">
    <mergeCell ref="A1:J1"/>
    <mergeCell ref="A2:J2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zoomScaleNormal="100" workbookViewId="0">
      <selection activeCell="H19" sqref="H19"/>
    </sheetView>
  </sheetViews>
  <sheetFormatPr defaultColWidth="8.6640625" defaultRowHeight="14.4" x14ac:dyDescent="0.3"/>
  <cols>
    <col min="1" max="1" width="26" customWidth="1"/>
    <col min="2" max="2" width="14" customWidth="1"/>
    <col min="3" max="3" width="9" customWidth="1"/>
    <col min="4" max="4" width="13" customWidth="1"/>
    <col min="5" max="5" width="15" customWidth="1"/>
    <col min="6" max="6" width="13" customWidth="1"/>
    <col min="7" max="7" width="11" customWidth="1"/>
    <col min="8" max="8" width="38" customWidth="1"/>
  </cols>
  <sheetData>
    <row r="1" spans="1:8" ht="25.5" customHeight="1" x14ac:dyDescent="0.3">
      <c r="A1" s="2" t="s">
        <v>87</v>
      </c>
      <c r="B1" s="2"/>
      <c r="C1" s="2"/>
      <c r="D1" s="2"/>
      <c r="E1" s="2"/>
      <c r="F1" s="2"/>
      <c r="G1" s="2"/>
      <c r="H1" s="2"/>
    </row>
    <row r="2" spans="1:8" x14ac:dyDescent="0.3">
      <c r="A2" s="10" t="s">
        <v>88</v>
      </c>
      <c r="B2" s="10"/>
      <c r="C2" s="10"/>
      <c r="D2" s="10"/>
      <c r="E2" s="10"/>
      <c r="F2" s="10"/>
      <c r="G2" s="10"/>
      <c r="H2" s="10"/>
    </row>
    <row r="4" spans="1:8" ht="30" customHeight="1" x14ac:dyDescent="0.3">
      <c r="A4" s="44" t="s">
        <v>89</v>
      </c>
      <c r="B4" s="44" t="s">
        <v>90</v>
      </c>
      <c r="C4" s="44" t="s">
        <v>91</v>
      </c>
      <c r="D4" s="44" t="s">
        <v>92</v>
      </c>
      <c r="E4" s="44" t="s">
        <v>93</v>
      </c>
      <c r="F4" s="44" t="s">
        <v>94</v>
      </c>
      <c r="G4" s="44" t="s">
        <v>95</v>
      </c>
      <c r="H4" s="44" t="s">
        <v>96</v>
      </c>
    </row>
    <row r="5" spans="1:8" x14ac:dyDescent="0.3">
      <c r="A5" s="13" t="s">
        <v>97</v>
      </c>
      <c r="B5" s="53">
        <v>1395.6</v>
      </c>
      <c r="C5" s="48" t="s">
        <v>98</v>
      </c>
      <c r="D5" s="54" t="s">
        <v>99</v>
      </c>
      <c r="E5" s="55">
        <f t="shared" ref="E5:E10" si="0">IF(C5="Bs",IF(D5&gt;0,B5/D5,0),B5)</f>
        <v>1395.6</v>
      </c>
      <c r="F5" s="56"/>
      <c r="G5" s="48" t="s">
        <v>100</v>
      </c>
      <c r="H5" s="57" t="s">
        <v>101</v>
      </c>
    </row>
    <row r="6" spans="1:8" x14ac:dyDescent="0.3">
      <c r="A6" s="13" t="s">
        <v>102</v>
      </c>
      <c r="B6" s="53">
        <v>156</v>
      </c>
      <c r="C6" s="48" t="s">
        <v>103</v>
      </c>
      <c r="D6" s="58">
        <v>570</v>
      </c>
      <c r="E6" s="55">
        <f t="shared" si="0"/>
        <v>0.27368421052631581</v>
      </c>
      <c r="F6" s="56"/>
      <c r="G6" s="48" t="s">
        <v>100</v>
      </c>
      <c r="H6" s="57" t="s">
        <v>104</v>
      </c>
    </row>
    <row r="7" spans="1:8" x14ac:dyDescent="0.3">
      <c r="A7" s="13" t="s">
        <v>105</v>
      </c>
      <c r="B7" s="53">
        <v>0</v>
      </c>
      <c r="C7" s="48" t="s">
        <v>98</v>
      </c>
      <c r="D7" s="54" t="s">
        <v>99</v>
      </c>
      <c r="E7" s="55">
        <f t="shared" si="0"/>
        <v>0</v>
      </c>
      <c r="F7" s="56"/>
      <c r="G7" s="48" t="s">
        <v>100</v>
      </c>
      <c r="H7" s="57" t="s">
        <v>106</v>
      </c>
    </row>
    <row r="8" spans="1:8" x14ac:dyDescent="0.3">
      <c r="A8" s="13" t="s">
        <v>107</v>
      </c>
      <c r="B8" s="53">
        <v>0</v>
      </c>
      <c r="C8" s="48" t="s">
        <v>98</v>
      </c>
      <c r="D8" s="54" t="s">
        <v>99</v>
      </c>
      <c r="E8" s="55">
        <f t="shared" si="0"/>
        <v>0</v>
      </c>
      <c r="F8" s="56"/>
      <c r="G8" s="48" t="s">
        <v>100</v>
      </c>
      <c r="H8" s="57" t="s">
        <v>108</v>
      </c>
    </row>
    <row r="9" spans="1:8" x14ac:dyDescent="0.3">
      <c r="A9" s="13" t="s">
        <v>109</v>
      </c>
      <c r="B9" s="53">
        <v>0</v>
      </c>
      <c r="C9" s="48" t="s">
        <v>98</v>
      </c>
      <c r="D9" s="54" t="s">
        <v>99</v>
      </c>
      <c r="E9" s="55">
        <f t="shared" si="0"/>
        <v>0</v>
      </c>
      <c r="F9" s="56"/>
      <c r="G9" s="48" t="s">
        <v>100</v>
      </c>
      <c r="H9" s="57" t="s">
        <v>110</v>
      </c>
    </row>
    <row r="10" spans="1:8" x14ac:dyDescent="0.3">
      <c r="A10" s="13" t="s">
        <v>111</v>
      </c>
      <c r="B10" s="53">
        <v>0</v>
      </c>
      <c r="C10" s="48" t="s">
        <v>98</v>
      </c>
      <c r="D10" s="54" t="s">
        <v>99</v>
      </c>
      <c r="E10" s="55">
        <f t="shared" si="0"/>
        <v>0</v>
      </c>
      <c r="F10" s="56"/>
      <c r="G10" s="48" t="s">
        <v>100</v>
      </c>
      <c r="H10" s="57" t="s">
        <v>112</v>
      </c>
    </row>
    <row r="11" spans="1:8" x14ac:dyDescent="0.3">
      <c r="A11" s="1" t="s">
        <v>113</v>
      </c>
      <c r="B11" s="1"/>
      <c r="C11" s="1"/>
      <c r="D11" s="1"/>
      <c r="E11" s="20">
        <f>SUM(E5:E10)</f>
        <v>1395.8736842105263</v>
      </c>
      <c r="F11" s="52"/>
      <c r="G11" s="52"/>
      <c r="H11" s="52"/>
    </row>
  </sheetData>
  <mergeCells count="3">
    <mergeCell ref="A1:H1"/>
    <mergeCell ref="A2:H2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 de Pago Semanal</vt:lpstr>
      <vt:lpstr>Nómina por persona</vt:lpstr>
      <vt:lpstr>Beneficios y Otros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 Kilson</cp:lastModifiedBy>
  <cp:revision>0</cp:revision>
  <dcterms:created xsi:type="dcterms:W3CDTF">2026-06-05T14:23:41Z</dcterms:created>
  <dcterms:modified xsi:type="dcterms:W3CDTF">2026-06-08T01:42:12Z</dcterms:modified>
  <dc:language>en-US</dc:language>
</cp:coreProperties>
</file>