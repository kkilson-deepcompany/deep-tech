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📦 Catálogo" sheetId="1" state="visible" r:id="rId3"/>
    <sheet name="📊 Por Categoría" sheetId="2" state="visible" r:id="rId4"/>
    <sheet name="🔍 Buscar SKU" sheetId="3" state="visible" r:id="rId5"/>
    <sheet name="📋 Control Stoc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<sst xmlns="http://schemas.openxmlformats.org/spreadsheetml/2006/main" count="762" uniqueCount="219">
  <si>
    <t xml:space="preserve">🅿  PARKEATE — CATÁLOGO DE EQUIPOS</t>
  </si>
  <si>
    <t xml:space="preserve">Generado: 06/05/2026  |  Parkeate by Deepcompany</t>
  </si>
  <si>
    <t xml:space="preserve">Total SKUs: 50</t>
  </si>
  <si>
    <t xml:space="preserve">SKU</t>
  </si>
  <si>
    <t xml:space="preserve">Nombre del Producto</t>
  </si>
  <si>
    <t xml:space="preserve">Categoría</t>
  </si>
  <si>
    <t xml:space="preserve">Marca</t>
  </si>
  <si>
    <t xml:space="preserve">Proveedor</t>
  </si>
  <si>
    <t xml:space="preserve">País / Origen</t>
  </si>
  <si>
    <t xml:space="preserve">Origen</t>
  </si>
  <si>
    <t xml:space="preserve">Stock</t>
  </si>
  <si>
    <t xml:space="preserve">Costo Base ($)</t>
  </si>
  <si>
    <t xml:space="preserve">IVA</t>
  </si>
  <si>
    <t xml:space="preserve">Total c/IVA ($)</t>
  </si>
  <si>
    <t xml:space="preserve">Envío Nac ($)</t>
  </si>
  <si>
    <t xml:space="preserve">Costo Total ($)</t>
  </si>
  <si>
    <t xml:space="preserve">Estado</t>
  </si>
  <si>
    <t xml:space="preserve">PKT-BAR-001</t>
  </si>
  <si>
    <t xml:space="preserve">Barrera ZKTeco BGM1060L/R</t>
  </si>
  <si>
    <t xml:space="preserve">Barreras y Control</t>
  </si>
  <si>
    <t xml:space="preserve">ZKTeco</t>
  </si>
  <si>
    <t xml:space="preserve">ZKTeco Venezuela</t>
  </si>
  <si>
    <t xml:space="preserve">Caracas, VE</t>
  </si>
  <si>
    <t xml:space="preserve">VE</t>
  </si>
  <si>
    <t xml:space="preserve">16%</t>
  </si>
  <si>
    <t xml:space="preserve">✅ En Stock</t>
  </si>
  <si>
    <t xml:space="preserve">PKT-BAR-002</t>
  </si>
  <si>
    <t xml:space="preserve">Barrera Bajo Tráfico DQ (CN)</t>
  </si>
  <si>
    <t xml:space="preserve">DQ</t>
  </si>
  <si>
    <t xml:space="preserve">Tongbao Parking</t>
  </si>
  <si>
    <t xml:space="preserve">Guangdong, CN</t>
  </si>
  <si>
    <t xml:space="preserve">CN</t>
  </si>
  <si>
    <t xml:space="preserve">N/A</t>
  </si>
  <si>
    <t xml:space="preserve">PKT-BAR-003</t>
  </si>
  <si>
    <t xml:space="preserve">Barrera Alto Tráfico DQ (CN)</t>
  </si>
  <si>
    <t xml:space="preserve">PKT-BAR-004</t>
  </si>
  <si>
    <t xml:space="preserve">Articulados externos</t>
  </si>
  <si>
    <t xml:space="preserve">-</t>
  </si>
  <si>
    <t xml:space="preserve">Tornero</t>
  </si>
  <si>
    <t xml:space="preserve">Miranda, VE</t>
  </si>
  <si>
    <t xml:space="preserve">PKT-CAM-001</t>
  </si>
  <si>
    <t xml:space="preserve">Cámara Domo V380 WiFi 360° (VE)</t>
  </si>
  <si>
    <t xml:space="preserve">Cámaras y LPR</t>
  </si>
  <si>
    <t xml:space="preserve">V380</t>
  </si>
  <si>
    <t xml:space="preserve">Electrónica Club Orlando</t>
  </si>
  <si>
    <t xml:space="preserve">PKT-CAM-002</t>
  </si>
  <si>
    <t xml:space="preserve">Cámara Domo V380 WiFi 360° (CN)</t>
  </si>
  <si>
    <t xml:space="preserve">Guangdong macro-video</t>
  </si>
  <si>
    <t xml:space="preserve">PKT-CAM-003</t>
  </si>
  <si>
    <t xml:space="preserve">Cámara LPR Módulo DQ TP-2001</t>
  </si>
  <si>
    <t xml:space="preserve">⚠️ Sin Stock</t>
  </si>
  <si>
    <t xml:space="preserve">PKT-CAM-004</t>
  </si>
  <si>
    <t xml:space="preserve">Cámara LPR Tengda 5MP IP66</t>
  </si>
  <si>
    <t xml:space="preserve">Tengda</t>
  </si>
  <si>
    <t xml:space="preserve">TengDa Parking Power</t>
  </si>
  <si>
    <t xml:space="preserve">PKT-CAM-005</t>
  </si>
  <si>
    <t xml:space="preserve">Lector de Placas DQ TP-2001</t>
  </si>
  <si>
    <t xml:space="preserve">PKT-LEC-001</t>
  </si>
  <si>
    <t xml:space="preserve">Antenas RFID UHF ZKTeco (VE)</t>
  </si>
  <si>
    <t xml:space="preserve">Lectores y Acceso</t>
  </si>
  <si>
    <t xml:space="preserve">PKT-LEC-002</t>
  </si>
  <si>
    <t xml:space="preserve">Antenas RFID UHF ZKRadio (CN)</t>
  </si>
  <si>
    <t xml:space="preserve">ZKRadio</t>
  </si>
  <si>
    <t xml:space="preserve">Shenzhen Radio Technology</t>
  </si>
  <si>
    <t xml:space="preserve">PKT-LEC-003</t>
  </si>
  <si>
    <t xml:space="preserve">Expendedor DQ TP-2004 con LPR</t>
  </si>
  <si>
    <t xml:space="preserve">PKT-LEC-004</t>
  </si>
  <si>
    <t xml:space="preserve">Lectores QR/NFC RFID IC (CN)</t>
  </si>
  <si>
    <t xml:space="preserve">OEM</t>
  </si>
  <si>
    <t xml:space="preserve">PKT-LEC-005</t>
  </si>
  <si>
    <t xml:space="preserve">Lector QR 3nStar SC505 2D</t>
  </si>
  <si>
    <t xml:space="preserve">3nStar</t>
  </si>
  <si>
    <t xml:space="preserve">Help Computer</t>
  </si>
  <si>
    <t xml:space="preserve">PKT-LEC-006</t>
  </si>
  <si>
    <t xml:space="preserve">Chupeta Validador HID</t>
  </si>
  <si>
    <t xml:space="preserve">HID</t>
  </si>
  <si>
    <t xml:space="preserve">HID Venezuela</t>
  </si>
  <si>
    <t xml:space="preserve">PKT-KIO-001</t>
  </si>
  <si>
    <t xml:space="preserve">Kiosk X 24" Autopago Táctil</t>
  </si>
  <si>
    <t xml:space="preserve">Kiosks y Autopago</t>
  </si>
  <si>
    <t xml:space="preserve">SUIE</t>
  </si>
  <si>
    <t xml:space="preserve">SUIYI Shenzhen</t>
  </si>
  <si>
    <t xml:space="preserve">PKT-KIO-002</t>
  </si>
  <si>
    <t xml:space="preserve">Kiosk K8 Mini Autopago</t>
  </si>
  <si>
    <t xml:space="preserve">PKT-KIO-003</t>
  </si>
  <si>
    <t xml:space="preserve">Bases Autopago SUIEI</t>
  </si>
  <si>
    <t xml:space="preserve">SUIEI</t>
  </si>
  <si>
    <t xml:space="preserve">PKT-SEN-001</t>
  </si>
  <si>
    <t xml:space="preserve">Sensor de Masa Prointe 1 canal</t>
  </si>
  <si>
    <t xml:space="preserve">Sensores</t>
  </si>
  <si>
    <t xml:space="preserve">Prointe</t>
  </si>
  <si>
    <t xml:space="preserve">Prointe Venezuela</t>
  </si>
  <si>
    <t xml:space="preserve">PKT-SEN-002</t>
  </si>
  <si>
    <t xml:space="preserve">Sensor de Masa ZKTeco 1 canal</t>
  </si>
  <si>
    <t xml:space="preserve">Enterprisse</t>
  </si>
  <si>
    <t xml:space="preserve">PKT-SEN-003</t>
  </si>
  <si>
    <t xml:space="preserve">Sensor IR Boquilla Arduino</t>
  </si>
  <si>
    <t xml:space="preserve">Arduino</t>
  </si>
  <si>
    <t xml:space="preserve">PKT-SEN-004</t>
  </si>
  <si>
    <t xml:space="preserve">Sensor Presencia VR10 Pro ZKTeco</t>
  </si>
  <si>
    <t xml:space="preserve">PKT-SEN-005</t>
  </si>
  <si>
    <t xml:space="preserve">Sensor Presencia Yistar VR10 IP67</t>
  </si>
  <si>
    <t xml:space="preserve">Yistar</t>
  </si>
  <si>
    <t xml:space="preserve">Shenzhen Yistar</t>
  </si>
  <si>
    <t xml:space="preserve">PKT-SEN-006</t>
  </si>
  <si>
    <t xml:space="preserve">Sensor Radar Tongbao TP-9008 79G</t>
  </si>
  <si>
    <t xml:space="preserve">Tongbao</t>
  </si>
  <si>
    <t xml:space="preserve">PKT-RED-001</t>
  </si>
  <si>
    <t xml:space="preserve">Cable UTP CAT5e 305m (Caja)</t>
  </si>
  <si>
    <t xml:space="preserve">Redes y Conectividad</t>
  </si>
  <si>
    <t xml:space="preserve">Wireplus</t>
  </si>
  <si>
    <t xml:space="preserve">Onprotec</t>
  </si>
  <si>
    <t xml:space="preserve">PKT-RED-002</t>
  </si>
  <si>
    <t xml:space="preserve">Switch TP-Link 16 Puertos 10/100</t>
  </si>
  <si>
    <t xml:space="preserve">TP-Link</t>
  </si>
  <si>
    <t xml:space="preserve">PKT-RED-003</t>
  </si>
  <si>
    <t xml:space="preserve">Switch Hikvision 8P Gigabit</t>
  </si>
  <si>
    <t xml:space="preserve">Hikvision</t>
  </si>
  <si>
    <t xml:space="preserve">PKT-RED-004</t>
  </si>
  <si>
    <t xml:space="preserve">Switch Mercusys 8 Puertos</t>
  </si>
  <si>
    <t xml:space="preserve">Mercusys</t>
  </si>
  <si>
    <t xml:space="preserve">Mercado Libre</t>
  </si>
  <si>
    <t xml:space="preserve">PKT-RED-005</t>
  </si>
  <si>
    <t xml:space="preserve">Switch Mercusys 5 Puertos</t>
  </si>
  <si>
    <t xml:space="preserve">PKT-RED-006</t>
  </si>
  <si>
    <t xml:space="preserve">Router Mercusys MR50G AC1900</t>
  </si>
  <si>
    <t xml:space="preserve">PKT-RED-007</t>
  </si>
  <si>
    <t xml:space="preserve">Rack de Pared Onlink 6U</t>
  </si>
  <si>
    <t xml:space="preserve">Onlink</t>
  </si>
  <si>
    <t xml:space="preserve">PKT-RED-008</t>
  </si>
  <si>
    <t xml:space="preserve">UPS Hikvision 1000VA/600W</t>
  </si>
  <si>
    <t xml:space="preserve">PKT-RED-009</t>
  </si>
  <si>
    <t xml:space="preserve">Mini Computer/Switch LPR DQ</t>
  </si>
  <si>
    <t xml:space="preserve">PKT-RED-010</t>
  </si>
  <si>
    <t xml:space="preserve">Conectores RJ45 CAT5</t>
  </si>
  <si>
    <t xml:space="preserve">RJ45</t>
  </si>
  <si>
    <t xml:space="preserve">PKT-ELE-001</t>
  </si>
  <si>
    <t xml:space="preserve">ESP32 WROOM 38 pines USB-C</t>
  </si>
  <si>
    <t xml:space="preserve">Electrónica y Cableado</t>
  </si>
  <si>
    <t xml:space="preserve">Electrónica Club</t>
  </si>
  <si>
    <t xml:space="preserve">PKT-ELE-002</t>
  </si>
  <si>
    <t xml:space="preserve">Fuente 12V 10A</t>
  </si>
  <si>
    <t xml:space="preserve">Carlos Prado</t>
  </si>
  <si>
    <t xml:space="preserve">PKT-ELE-003</t>
  </si>
  <si>
    <t xml:space="preserve">Fuente 24V 20A</t>
  </si>
  <si>
    <t xml:space="preserve">PKT-ELE-004</t>
  </si>
  <si>
    <t xml:space="preserve">Baterías / Transformador 12V 10A</t>
  </si>
  <si>
    <t xml:space="preserve">STC</t>
  </si>
  <si>
    <t xml:space="preserve">PKT-ELE-005</t>
  </si>
  <si>
    <t xml:space="preserve">Relé 5V 1 Canal Optoacoplador</t>
  </si>
  <si>
    <t xml:space="preserve">Rele</t>
  </si>
  <si>
    <t xml:space="preserve">PKT-ELE-006</t>
  </si>
  <si>
    <t xml:space="preserve">Botones Arcade Iluminados 46mm</t>
  </si>
  <si>
    <t xml:space="preserve">Button</t>
  </si>
  <si>
    <t xml:space="preserve">Roboticave</t>
  </si>
  <si>
    <t xml:space="preserve">San Cristóbal, VE</t>
  </si>
  <si>
    <t xml:space="preserve">PKT-ELE-007</t>
  </si>
  <si>
    <t xml:space="preserve">Cable Alarma VIOSS 4 Hilos (Rollo)</t>
  </si>
  <si>
    <t xml:space="preserve">VIOSS</t>
  </si>
  <si>
    <t xml:space="preserve">AA Latinoamericana</t>
  </si>
  <si>
    <t xml:space="preserve">PKT-ELE-008</t>
  </si>
  <si>
    <t xml:space="preserve">Cable THHN 12 AWG 7 Hilos</t>
  </si>
  <si>
    <t xml:space="preserve">Iconel</t>
  </si>
  <si>
    <t xml:space="preserve">PKT-ELE-009</t>
  </si>
  <si>
    <t xml:space="preserve">Borneras 3A 12 Pares</t>
  </si>
  <si>
    <t xml:space="preserve">Gauss Eléctrica</t>
  </si>
  <si>
    <t xml:space="preserve">PKT-PER-001</t>
  </si>
  <si>
    <t xml:space="preserve">Monitor Táctil AON TSM-115 15"</t>
  </si>
  <si>
    <t xml:space="preserve">Periféricos de Caja</t>
  </si>
  <si>
    <t xml:space="preserve">AON</t>
  </si>
  <si>
    <t xml:space="preserve">PKT-PER-002</t>
  </si>
  <si>
    <t xml:space="preserve">Mini PC 3nStar J6412 8GB 240GB</t>
  </si>
  <si>
    <t xml:space="preserve">PKT-PER-003</t>
  </si>
  <si>
    <t xml:space="preserve">Gaveta Metálica 3nStar CD350</t>
  </si>
  <si>
    <t xml:space="preserve">PKT-PER-004</t>
  </si>
  <si>
    <t xml:space="preserve">Impresora Térmica HSPOS 80mm (CN)</t>
  </si>
  <si>
    <t xml:space="preserve">HSPOS</t>
  </si>
  <si>
    <t xml:space="preserve">Hspos Technology</t>
  </si>
  <si>
    <t xml:space="preserve">PKT-PER-005</t>
  </si>
  <si>
    <t xml:space="preserve">Base Pinpad Tailwind Pared</t>
  </si>
  <si>
    <t xml:space="preserve">Mega Soft</t>
  </si>
  <si>
    <t xml:space="preserve">Megasoft Computacion</t>
  </si>
  <si>
    <t xml:space="preserve">PKT-PER-006</t>
  </si>
  <si>
    <t xml:space="preserve">Base Pinpad Verifone P200/Vx820</t>
  </si>
  <si>
    <t xml:space="preserve">PKT-PER-007</t>
  </si>
  <si>
    <t xml:space="preserve">Bases Impresora Fiscal</t>
  </si>
  <si>
    <t xml:space="preserve">TOTAL ITEMS EN CATÁLOGO: 50</t>
  </si>
  <si>
    <t xml:space="preserve">INVENTARIO POR CATEGORÍA — PARKEATE</t>
  </si>
  <si>
    <t xml:space="preserve">Total SKUs</t>
  </si>
  <si>
    <t xml:space="preserve">Stock Disponible</t>
  </si>
  <si>
    <t xml:space="preserve">Sin Stock</t>
  </si>
  <si>
    <t xml:space="preserve">% Disponible</t>
  </si>
  <si>
    <t xml:space="preserve">Origen Ppal</t>
  </si>
  <si>
    <t xml:space="preserve">🇻🇪 Venezuela</t>
  </si>
  <si>
    <t xml:space="preserve">🇨🇳 China</t>
  </si>
  <si>
    <t xml:space="preserve">TOTAL</t>
  </si>
  <si>
    <t xml:space="preserve">BÚSQUEDA RÁPIDA POR SKU</t>
  </si>
  <si>
    <t xml:space="preserve">Ingresa el SKU:</t>
  </si>
  <si>
    <t xml:space="preserve">Nombre:</t>
  </si>
  <si>
    <t xml:space="preserve">Categoría:</t>
  </si>
  <si>
    <t xml:space="preserve">Marca:</t>
  </si>
  <si>
    <t xml:space="preserve">Proveedor:</t>
  </si>
  <si>
    <t xml:space="preserve">Stock:</t>
  </si>
  <si>
    <t xml:space="preserve">Costo Base:</t>
  </si>
  <si>
    <t xml:space="preserve">Costo Total:</t>
  </si>
  <si>
    <t xml:space="preserve">Origen:</t>
  </si>
  <si>
    <t xml:space="preserve">💡 Escribe cualquier SKU del catálogo en la celda B3 para ver su información completa.</t>
  </si>
  <si>
    <t xml:space="preserve">CONTROL DE STOCK — PARKEATE</t>
  </si>
  <si>
    <t xml:space="preserve">Nombre</t>
  </si>
  <si>
    <t xml:space="preserve">Stock Actual</t>
  </si>
  <si>
    <t xml:space="preserve">Stock Mín</t>
  </si>
  <si>
    <t xml:space="preserve">Alerta</t>
  </si>
  <si>
    <t xml:space="preserve">Acción Sugerida</t>
  </si>
  <si>
    <t xml:space="preserve">🔴 AGOTADO</t>
  </si>
  <si>
    <t xml:space="preserve">Solicitar importación o cotizar local</t>
  </si>
  <si>
    <t xml:space="preserve">🟡 BAJO</t>
  </si>
  <si>
    <t xml:space="preserve">Reabastecer pronto</t>
  </si>
  <si>
    <t xml:space="preserve">🟢 OK</t>
  </si>
  <si>
    <t xml:space="preserve">—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</si>
</sst>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%"/>
    <numFmt numFmtId="167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888780"/>
      <name val="Arial"/>
      <family val="0"/>
      <charset val="1"/>
    </font>
    <font>
      <b val="true"/>
      <sz val="9"/>
      <color rgb="FF0F6E5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C447C"/>
      <name val="Arial"/>
      <family val="0"/>
      <charset val="1"/>
    </font>
    <font>
      <b val="true"/>
      <sz val="9"/>
      <color rgb="FF2C2C2A"/>
      <name val="Arial"/>
      <family val="0"/>
      <charset val="1"/>
    </font>
    <font>
      <sz val="9"/>
      <color rgb="FF2C2C2A"/>
      <name val="Arial"/>
      <family val="0"/>
      <charset val="1"/>
    </font>
    <font>
      <b val="true"/>
      <sz val="9"/>
      <color rgb="FF27500A"/>
      <name val="Arial"/>
      <family val="0"/>
      <charset val="1"/>
    </font>
    <font>
      <b val="true"/>
      <sz val="9"/>
      <color rgb="FF791F1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854F0B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C447C"/>
      <name val="Arial"/>
      <family val="0"/>
      <charset val="1"/>
    </font>
    <font>
      <b val="true"/>
      <sz val="10"/>
      <color rgb="FF888780"/>
      <name val="Arial"/>
      <family val="0"/>
      <charset val="1"/>
    </font>
    <font>
      <sz val="10"/>
      <color rgb="FF2C2C2A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1EFE8"/>
        <bgColor rgb="FFEAF3DE"/>
      </patternFill>
    </fill>
    <fill>
      <patternFill patternType="solid">
        <fgColor rgb="FF1D9E75"/>
        <bgColor rgb="FF008080"/>
      </patternFill>
    </fill>
    <fill>
      <patternFill patternType="solid">
        <fgColor rgb="FFFFFFFF"/>
        <bgColor rgb="FFF1EFE8"/>
      </patternFill>
    </fill>
    <fill>
      <patternFill patternType="solid">
        <fgColor rgb="FFE1F5EE"/>
        <bgColor rgb="FFE6F1FB"/>
      </patternFill>
    </fill>
    <fill>
      <patternFill patternType="solid">
        <fgColor rgb="FFEAF3DE"/>
        <bgColor rgb="FFF1EFE8"/>
      </patternFill>
    </fill>
    <fill>
      <patternFill patternType="solid">
        <fgColor rgb="FFE6F1FB"/>
        <bgColor rgb="FFE1F5EE"/>
      </patternFill>
    </fill>
    <fill>
      <patternFill patternType="solid">
        <fgColor rgb="FFFCEBEB"/>
        <bgColor rgb="FFFAEEDA"/>
      </patternFill>
    </fill>
    <fill>
      <patternFill patternType="solid">
        <fgColor rgb="FF0C447C"/>
        <bgColor rgb="FF333399"/>
      </patternFill>
    </fill>
    <fill>
      <patternFill patternType="solid">
        <fgColor rgb="FFFAEEDA"/>
        <bgColor rgb="FFFCEBEB"/>
      </patternFill>
    </fill>
    <fill>
      <patternFill patternType="solid">
        <fgColor rgb="FF854F0B"/>
        <bgColor rgb="FF791F1F"/>
      </patternFill>
    </fill>
    <fill>
      <patternFill patternType="solid">
        <fgColor rgb="FFBA7517"/>
        <bgColor rgb="FFFF66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/>
      <right/>
      <top/>
      <bottom style="medium">
        <color rgb="FF0C447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D9E75"/>
          <bgColor rgb="FF000000"/>
        </patternFill>
      </fill>
    </dxf>
    <dxf>
      <fill>
        <patternFill patternType="solid">
          <fgColor rgb="FFF1EF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C447C"/>
          <bgColor rgb="FF000000"/>
        </patternFill>
      </fill>
    </dxf>
    <dxf>
      <fill>
        <patternFill patternType="solid">
          <fgColor rgb="FF2C2C2A"/>
          <bgColor rgb="FF000000"/>
        </patternFill>
      </fill>
    </dxf>
    <dxf>
      <fill>
        <patternFill patternType="solid">
          <fgColor rgb="FFE1F5EE"/>
          <bgColor rgb="FF000000"/>
        </patternFill>
      </fill>
    </dxf>
    <dxf>
      <fill>
        <patternFill patternType="solid">
          <fgColor rgb="FFE6F1FB"/>
          <bgColor rgb="FF000000"/>
        </patternFill>
      </fill>
    </dxf>
    <dxf>
      <fill>
        <patternFill patternType="solid">
          <fgColor rgb="FF0F6E56"/>
          <bgColor rgb="FF000000"/>
        </patternFill>
      </fill>
    </dxf>
    <dxf>
      <fill>
        <patternFill patternType="solid">
          <fgColor rgb="FFEAF3DE"/>
          <bgColor rgb="FF000000"/>
        </patternFill>
      </fill>
    </dxf>
    <dxf>
      <fill>
        <patternFill patternType="solid">
          <fgColor rgb="FFFCEBEB"/>
          <bgColor rgb="FF000000"/>
        </patternFill>
      </fill>
    </dxf>
    <dxf>
      <fill>
        <patternFill patternType="solid">
          <fgColor rgb="FF27500A"/>
          <bgColor rgb="FF000000"/>
        </patternFill>
      </fill>
    </dxf>
    <dxf>
      <fill>
        <patternFill patternType="solid">
          <fgColor rgb="FF791F1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91F1F"/>
      <rgbColor rgb="FF008000"/>
      <rgbColor rgb="FF000080"/>
      <rgbColor rgb="FFBA7517"/>
      <rgbColor rgb="FF800080"/>
      <rgbColor rgb="FF0F6E56"/>
      <rgbColor rgb="FFD3D1C7"/>
      <rgbColor rgb="FF888780"/>
      <rgbColor rgb="FF9999FF"/>
      <rgbColor rgb="FF993366"/>
      <rgbColor rgb="FFFAEEDA"/>
      <rgbColor rgb="FFE1F5EE"/>
      <rgbColor rgb="FF660066"/>
      <rgbColor rgb="FFFF8080"/>
      <rgbColor rgb="FF0066CC"/>
      <rgbColor rgb="FFFCEB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EAF3DE"/>
      <rgbColor rgb="FFF1EF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447C"/>
      <rgbColor rgb="FF1D9E75"/>
      <rgbColor rgb="FF003300"/>
      <rgbColor rgb="FF27500A"/>
      <rgbColor rgb="FF854F0B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Catalogo" displayName="TablaCatalogo" ref="A3:N53" headerRowCount="1" totalsRowCount="0" totalsRowShown="0">
  <autoFilter ref="A3:N53"/>
  <tableColumns count="14">
    <tableColumn id="1" name="SKU"/>
    <tableColumn id="2" name="Nombre del Producto"/>
    <tableColumn id="3" name="Categoría"/>
    <tableColumn id="4" name="Marca"/>
    <tableColumn id="5" name="Proveedor"/>
    <tableColumn id="6" name="País / Origen"/>
    <tableColumn id="7" name="Origen"/>
    <tableColumn id="8" name="Stock"/>
    <tableColumn id="9" name="Costo Base ($)"/>
    <tableColumn id="10" name="IVA"/>
    <tableColumn id="11" name="Total c/IVA ($)"/>
    <tableColumn id="12" name="Envío Nac ($)"/>
    <tableColumn id="13" name="Costo Total ($)"/>
    <tableColumn id="14" name="Estad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9" min="9" style="0" width="13"/>
    <col collapsed="false" customWidth="true" hidden="false" outlineLevel="0" max="10" min="10" style="0" width="6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1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3"/>
      <c r="J2" s="3"/>
      <c r="K2" s="3"/>
      <c r="L2" s="3"/>
      <c r="M2" s="3"/>
      <c r="N2" s="3"/>
    </row>
    <row r="3" customFormat="false" ht="25.5" hidden="false" customHeight="true" outlineLevel="0" collapsed="false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</row>
    <row r="4" customFormat="false" ht="21.75" hidden="false" customHeight="true" outlineLevel="0" collapsed="false">
      <c r="A4" s="5" t="s">
        <v>17</v>
      </c>
      <c r="B4" s="6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8" t="s">
        <v>23</v>
      </c>
      <c r="H4" s="9" t="n">
        <v>1</v>
      </c>
      <c r="I4" s="10" t="n">
        <v>2250</v>
      </c>
      <c r="J4" s="9" t="s">
        <v>24</v>
      </c>
      <c r="K4" s="10" t="n">
        <v>2610</v>
      </c>
      <c r="L4" s="10" t="n">
        <v>10</v>
      </c>
      <c r="M4" s="10" t="n">
        <v>2620</v>
      </c>
      <c r="N4" s="11" t="s">
        <v>25</v>
      </c>
    </row>
    <row r="5" customFormat="false" ht="21.75" hidden="false" customHeight="true" outlineLevel="0" collapsed="false">
      <c r="A5" s="12" t="s">
        <v>26</v>
      </c>
      <c r="B5" s="13" t="s">
        <v>27</v>
      </c>
      <c r="C5" s="14" t="s">
        <v>19</v>
      </c>
      <c r="D5" s="14" t="s">
        <v>28</v>
      </c>
      <c r="E5" s="14" t="s">
        <v>29</v>
      </c>
      <c r="F5" s="14" t="s">
        <v>30</v>
      </c>
      <c r="G5" s="15" t="s">
        <v>31</v>
      </c>
      <c r="H5" s="16" t="n">
        <v>10</v>
      </c>
      <c r="I5" s="17" t="n">
        <v>179</v>
      </c>
      <c r="J5" s="16" t="s">
        <v>32</v>
      </c>
      <c r="K5" s="14"/>
      <c r="L5" s="14"/>
      <c r="M5" s="14"/>
      <c r="N5" s="11" t="s">
        <v>25</v>
      </c>
    </row>
    <row r="6" customFormat="false" ht="21.75" hidden="false" customHeight="true" outlineLevel="0" collapsed="false">
      <c r="A6" s="5" t="s">
        <v>33</v>
      </c>
      <c r="B6" s="6" t="s">
        <v>34</v>
      </c>
      <c r="C6" s="7" t="s">
        <v>19</v>
      </c>
      <c r="D6" s="7" t="s">
        <v>28</v>
      </c>
      <c r="E6" s="7" t="s">
        <v>29</v>
      </c>
      <c r="F6" s="7" t="s">
        <v>30</v>
      </c>
      <c r="G6" s="15" t="s">
        <v>31</v>
      </c>
      <c r="H6" s="9" t="n">
        <v>4</v>
      </c>
      <c r="I6" s="10" t="n">
        <v>299</v>
      </c>
      <c r="J6" s="9" t="s">
        <v>32</v>
      </c>
      <c r="K6" s="7"/>
      <c r="L6" s="7"/>
      <c r="M6" s="7"/>
      <c r="N6" s="11" t="s">
        <v>25</v>
      </c>
    </row>
    <row r="7" customFormat="false" ht="21.75" hidden="false" customHeight="true" outlineLevel="0" collapsed="false">
      <c r="A7" s="12" t="s">
        <v>35</v>
      </c>
      <c r="B7" s="13" t="s">
        <v>36</v>
      </c>
      <c r="C7" s="14" t="s">
        <v>19</v>
      </c>
      <c r="D7" s="14" t="s">
        <v>37</v>
      </c>
      <c r="E7" s="14" t="s">
        <v>38</v>
      </c>
      <c r="F7" s="14" t="s">
        <v>39</v>
      </c>
      <c r="G7" s="8" t="s">
        <v>23</v>
      </c>
      <c r="H7" s="16" t="n">
        <v>7</v>
      </c>
      <c r="I7" s="14"/>
      <c r="J7" s="16" t="s">
        <v>32</v>
      </c>
      <c r="K7" s="14"/>
      <c r="L7" s="17" t="n">
        <v>10</v>
      </c>
      <c r="M7" s="17" t="n">
        <v>10</v>
      </c>
      <c r="N7" s="11" t="s">
        <v>25</v>
      </c>
    </row>
    <row r="8" customFormat="false" ht="21.75" hidden="false" customHeight="true" outlineLevel="0" collapsed="false">
      <c r="A8" s="5" t="s">
        <v>40</v>
      </c>
      <c r="B8" s="6" t="s">
        <v>41</v>
      </c>
      <c r="C8" s="7" t="s">
        <v>42</v>
      </c>
      <c r="D8" s="7" t="s">
        <v>43</v>
      </c>
      <c r="E8" s="7" t="s">
        <v>44</v>
      </c>
      <c r="F8" s="7" t="s">
        <v>22</v>
      </c>
      <c r="G8" s="8" t="s">
        <v>23</v>
      </c>
      <c r="H8" s="9" t="n">
        <v>3</v>
      </c>
      <c r="I8" s="10" t="n">
        <v>94.83</v>
      </c>
      <c r="J8" s="9" t="s">
        <v>24</v>
      </c>
      <c r="K8" s="10" t="n">
        <v>110</v>
      </c>
      <c r="L8" s="10" t="n">
        <v>5</v>
      </c>
      <c r="M8" s="10" t="n">
        <v>115</v>
      </c>
      <c r="N8" s="11" t="s">
        <v>25</v>
      </c>
    </row>
    <row r="9" customFormat="false" ht="21.75" hidden="false" customHeight="true" outlineLevel="0" collapsed="false">
      <c r="A9" s="12" t="s">
        <v>45</v>
      </c>
      <c r="B9" s="13" t="s">
        <v>46</v>
      </c>
      <c r="C9" s="14" t="s">
        <v>42</v>
      </c>
      <c r="D9" s="14" t="s">
        <v>43</v>
      </c>
      <c r="E9" s="14" t="s">
        <v>47</v>
      </c>
      <c r="F9" s="14" t="s">
        <v>30</v>
      </c>
      <c r="G9" s="15" t="s">
        <v>31</v>
      </c>
      <c r="H9" s="16" t="n">
        <v>3</v>
      </c>
      <c r="I9" s="17" t="n">
        <v>12.5</v>
      </c>
      <c r="J9" s="16" t="s">
        <v>32</v>
      </c>
      <c r="K9" s="14"/>
      <c r="L9" s="14"/>
      <c r="M9" s="14"/>
      <c r="N9" s="11" t="s">
        <v>25</v>
      </c>
    </row>
    <row r="10" customFormat="false" ht="21.75" hidden="false" customHeight="true" outlineLevel="0" collapsed="false">
      <c r="A10" s="5" t="s">
        <v>48</v>
      </c>
      <c r="B10" s="6" t="s">
        <v>49</v>
      </c>
      <c r="C10" s="7" t="s">
        <v>42</v>
      </c>
      <c r="D10" s="7" t="s">
        <v>28</v>
      </c>
      <c r="E10" s="7" t="s">
        <v>29</v>
      </c>
      <c r="F10" s="7" t="s">
        <v>30</v>
      </c>
      <c r="G10" s="15" t="s">
        <v>31</v>
      </c>
      <c r="H10" s="9" t="n">
        <v>0</v>
      </c>
      <c r="I10" s="10" t="n">
        <v>469</v>
      </c>
      <c r="J10" s="9" t="s">
        <v>32</v>
      </c>
      <c r="K10" s="7"/>
      <c r="L10" s="7"/>
      <c r="M10" s="7"/>
      <c r="N10" s="18" t="s">
        <v>50</v>
      </c>
    </row>
    <row r="11" customFormat="false" ht="21.75" hidden="false" customHeight="true" outlineLevel="0" collapsed="false">
      <c r="A11" s="12" t="s">
        <v>51</v>
      </c>
      <c r="B11" s="13" t="s">
        <v>52</v>
      </c>
      <c r="C11" s="14" t="s">
        <v>42</v>
      </c>
      <c r="D11" s="14" t="s">
        <v>53</v>
      </c>
      <c r="E11" s="14" t="s">
        <v>54</v>
      </c>
      <c r="F11" s="14" t="s">
        <v>30</v>
      </c>
      <c r="G11" s="15" t="s">
        <v>31</v>
      </c>
      <c r="H11" s="16" t="n">
        <v>0</v>
      </c>
      <c r="I11" s="17" t="n">
        <v>399</v>
      </c>
      <c r="J11" s="16" t="s">
        <v>32</v>
      </c>
      <c r="K11" s="14"/>
      <c r="L11" s="14"/>
      <c r="M11" s="14"/>
      <c r="N11" s="18" t="s">
        <v>50</v>
      </c>
    </row>
    <row r="12" customFormat="false" ht="21.75" hidden="false" customHeight="true" outlineLevel="0" collapsed="false">
      <c r="A12" s="5" t="s">
        <v>55</v>
      </c>
      <c r="B12" s="6" t="s">
        <v>56</v>
      </c>
      <c r="C12" s="7" t="s">
        <v>42</v>
      </c>
      <c r="D12" s="7" t="s">
        <v>28</v>
      </c>
      <c r="E12" s="7" t="s">
        <v>29</v>
      </c>
      <c r="F12" s="7" t="s">
        <v>30</v>
      </c>
      <c r="G12" s="15" t="s">
        <v>31</v>
      </c>
      <c r="H12" s="9" t="n">
        <v>2</v>
      </c>
      <c r="I12" s="10" t="n">
        <v>490</v>
      </c>
      <c r="J12" s="9" t="s">
        <v>32</v>
      </c>
      <c r="K12" s="7"/>
      <c r="L12" s="7"/>
      <c r="M12" s="7"/>
      <c r="N12" s="11" t="s">
        <v>25</v>
      </c>
    </row>
    <row r="13" customFormat="false" ht="21.75" hidden="false" customHeight="true" outlineLevel="0" collapsed="false">
      <c r="A13" s="12" t="s">
        <v>57</v>
      </c>
      <c r="B13" s="13" t="s">
        <v>58</v>
      </c>
      <c r="C13" s="14" t="s">
        <v>59</v>
      </c>
      <c r="D13" s="14" t="s">
        <v>20</v>
      </c>
      <c r="E13" s="14" t="s">
        <v>21</v>
      </c>
      <c r="F13" s="14" t="s">
        <v>22</v>
      </c>
      <c r="G13" s="8" t="s">
        <v>23</v>
      </c>
      <c r="H13" s="16" t="n">
        <v>1</v>
      </c>
      <c r="I13" s="17" t="n">
        <v>830</v>
      </c>
      <c r="J13" s="16" t="s">
        <v>24</v>
      </c>
      <c r="K13" s="17" t="n">
        <v>962.8</v>
      </c>
      <c r="L13" s="17" t="n">
        <v>5</v>
      </c>
      <c r="M13" s="17" t="n">
        <v>967.8</v>
      </c>
      <c r="N13" s="11" t="s">
        <v>25</v>
      </c>
    </row>
    <row r="14" customFormat="false" ht="21.75" hidden="false" customHeight="true" outlineLevel="0" collapsed="false">
      <c r="A14" s="5" t="s">
        <v>60</v>
      </c>
      <c r="B14" s="6" t="s">
        <v>61</v>
      </c>
      <c r="C14" s="7" t="s">
        <v>59</v>
      </c>
      <c r="D14" s="7" t="s">
        <v>62</v>
      </c>
      <c r="E14" s="7" t="s">
        <v>63</v>
      </c>
      <c r="F14" s="7" t="s">
        <v>30</v>
      </c>
      <c r="G14" s="15" t="s">
        <v>31</v>
      </c>
      <c r="H14" s="9" t="n">
        <v>1</v>
      </c>
      <c r="I14" s="10" t="n">
        <v>140</v>
      </c>
      <c r="J14" s="9" t="s">
        <v>32</v>
      </c>
      <c r="K14" s="7"/>
      <c r="L14" s="7"/>
      <c r="M14" s="7"/>
      <c r="N14" s="11" t="s">
        <v>25</v>
      </c>
    </row>
    <row r="15" customFormat="false" ht="21.75" hidden="false" customHeight="true" outlineLevel="0" collapsed="false">
      <c r="A15" s="12" t="s">
        <v>64</v>
      </c>
      <c r="B15" s="13" t="s">
        <v>65</v>
      </c>
      <c r="C15" s="14" t="s">
        <v>59</v>
      </c>
      <c r="D15" s="14" t="s">
        <v>28</v>
      </c>
      <c r="E15" s="14" t="s">
        <v>29</v>
      </c>
      <c r="F15" s="14" t="s">
        <v>30</v>
      </c>
      <c r="G15" s="15" t="s">
        <v>31</v>
      </c>
      <c r="H15" s="16" t="n">
        <v>0</v>
      </c>
      <c r="I15" s="17" t="n">
        <v>350</v>
      </c>
      <c r="J15" s="16" t="s">
        <v>32</v>
      </c>
      <c r="K15" s="14"/>
      <c r="L15" s="14"/>
      <c r="M15" s="14"/>
      <c r="N15" s="18" t="s">
        <v>50</v>
      </c>
    </row>
    <row r="16" customFormat="false" ht="21.75" hidden="false" customHeight="true" outlineLevel="0" collapsed="false">
      <c r="A16" s="5" t="s">
        <v>66</v>
      </c>
      <c r="B16" s="6" t="s">
        <v>67</v>
      </c>
      <c r="C16" s="7" t="s">
        <v>59</v>
      </c>
      <c r="D16" s="7" t="s">
        <v>68</v>
      </c>
      <c r="E16" s="7" t="s">
        <v>63</v>
      </c>
      <c r="F16" s="7" t="s">
        <v>30</v>
      </c>
      <c r="G16" s="15" t="s">
        <v>31</v>
      </c>
      <c r="H16" s="9" t="n">
        <v>4</v>
      </c>
      <c r="I16" s="10" t="n">
        <v>58</v>
      </c>
      <c r="J16" s="9" t="s">
        <v>32</v>
      </c>
      <c r="K16" s="7"/>
      <c r="L16" s="7"/>
      <c r="M16" s="7"/>
      <c r="N16" s="11" t="s">
        <v>25</v>
      </c>
    </row>
    <row r="17" customFormat="false" ht="21.75" hidden="false" customHeight="true" outlineLevel="0" collapsed="false">
      <c r="A17" s="12" t="s">
        <v>69</v>
      </c>
      <c r="B17" s="13" t="s">
        <v>70</v>
      </c>
      <c r="C17" s="14" t="s">
        <v>59</v>
      </c>
      <c r="D17" s="14" t="s">
        <v>71</v>
      </c>
      <c r="E17" s="14" t="s">
        <v>72</v>
      </c>
      <c r="F17" s="14" t="s">
        <v>22</v>
      </c>
      <c r="G17" s="8" t="s">
        <v>23</v>
      </c>
      <c r="H17" s="16" t="n">
        <v>1</v>
      </c>
      <c r="I17" s="17" t="n">
        <v>185</v>
      </c>
      <c r="J17" s="16" t="s">
        <v>24</v>
      </c>
      <c r="K17" s="17" t="n">
        <v>214.6</v>
      </c>
      <c r="L17" s="17" t="n">
        <v>5</v>
      </c>
      <c r="M17" s="17" t="n">
        <v>219.6</v>
      </c>
      <c r="N17" s="11" t="s">
        <v>25</v>
      </c>
    </row>
    <row r="18" customFormat="false" ht="21.75" hidden="false" customHeight="true" outlineLevel="0" collapsed="false">
      <c r="A18" s="5" t="s">
        <v>73</v>
      </c>
      <c r="B18" s="6" t="s">
        <v>74</v>
      </c>
      <c r="C18" s="7" t="s">
        <v>59</v>
      </c>
      <c r="D18" s="7" t="s">
        <v>75</v>
      </c>
      <c r="E18" s="7" t="s">
        <v>76</v>
      </c>
      <c r="F18" s="7" t="s">
        <v>22</v>
      </c>
      <c r="G18" s="8" t="s">
        <v>23</v>
      </c>
      <c r="H18" s="9" t="n">
        <v>0</v>
      </c>
      <c r="I18" s="10" t="n">
        <v>455</v>
      </c>
      <c r="J18" s="9" t="s">
        <v>24</v>
      </c>
      <c r="K18" s="10" t="n">
        <v>527.8</v>
      </c>
      <c r="L18" s="10" t="n">
        <v>5</v>
      </c>
      <c r="M18" s="10" t="n">
        <v>532.8</v>
      </c>
      <c r="N18" s="18" t="s">
        <v>50</v>
      </c>
    </row>
    <row r="19" customFormat="false" ht="21.75" hidden="false" customHeight="true" outlineLevel="0" collapsed="false">
      <c r="A19" s="12" t="s">
        <v>77</v>
      </c>
      <c r="B19" s="13" t="s">
        <v>78</v>
      </c>
      <c r="C19" s="14" t="s">
        <v>79</v>
      </c>
      <c r="D19" s="14" t="s">
        <v>80</v>
      </c>
      <c r="E19" s="14" t="s">
        <v>81</v>
      </c>
      <c r="F19" s="14" t="s">
        <v>30</v>
      </c>
      <c r="G19" s="15" t="s">
        <v>31</v>
      </c>
      <c r="H19" s="16" t="n">
        <v>1</v>
      </c>
      <c r="I19" s="17" t="n">
        <v>621</v>
      </c>
      <c r="J19" s="16" t="s">
        <v>32</v>
      </c>
      <c r="K19" s="14"/>
      <c r="L19" s="14"/>
      <c r="M19" s="14"/>
      <c r="N19" s="11" t="s">
        <v>25</v>
      </c>
    </row>
    <row r="20" customFormat="false" ht="21.75" hidden="false" customHeight="true" outlineLevel="0" collapsed="false">
      <c r="A20" s="5" t="s">
        <v>82</v>
      </c>
      <c r="B20" s="6" t="s">
        <v>83</v>
      </c>
      <c r="C20" s="7" t="s">
        <v>79</v>
      </c>
      <c r="D20" s="7" t="s">
        <v>80</v>
      </c>
      <c r="E20" s="7" t="s">
        <v>81</v>
      </c>
      <c r="F20" s="7" t="s">
        <v>30</v>
      </c>
      <c r="G20" s="15" t="s">
        <v>31</v>
      </c>
      <c r="H20" s="9" t="n">
        <v>0</v>
      </c>
      <c r="I20" s="10" t="n">
        <v>599</v>
      </c>
      <c r="J20" s="9" t="s">
        <v>32</v>
      </c>
      <c r="K20" s="7"/>
      <c r="L20" s="7"/>
      <c r="M20" s="7"/>
      <c r="N20" s="18" t="s">
        <v>50</v>
      </c>
    </row>
    <row r="21" customFormat="false" ht="21.75" hidden="false" customHeight="true" outlineLevel="0" collapsed="false">
      <c r="A21" s="12" t="s">
        <v>84</v>
      </c>
      <c r="B21" s="13" t="s">
        <v>85</v>
      </c>
      <c r="C21" s="14" t="s">
        <v>79</v>
      </c>
      <c r="D21" s="14" t="s">
        <v>86</v>
      </c>
      <c r="E21" s="14" t="s">
        <v>81</v>
      </c>
      <c r="F21" s="14" t="s">
        <v>22</v>
      </c>
      <c r="G21" s="8" t="s">
        <v>23</v>
      </c>
      <c r="H21" s="16" t="n">
        <v>2</v>
      </c>
      <c r="I21" s="14"/>
      <c r="J21" s="16" t="s">
        <v>32</v>
      </c>
      <c r="K21" s="14"/>
      <c r="L21" s="17" t="n">
        <v>5</v>
      </c>
      <c r="M21" s="17" t="n">
        <v>5</v>
      </c>
      <c r="N21" s="11" t="s">
        <v>25</v>
      </c>
    </row>
    <row r="22" customFormat="false" ht="21.75" hidden="false" customHeight="true" outlineLevel="0" collapsed="false">
      <c r="A22" s="5" t="s">
        <v>87</v>
      </c>
      <c r="B22" s="6" t="s">
        <v>88</v>
      </c>
      <c r="C22" s="7" t="s">
        <v>89</v>
      </c>
      <c r="D22" s="7" t="s">
        <v>90</v>
      </c>
      <c r="E22" s="7" t="s">
        <v>91</v>
      </c>
      <c r="F22" s="7" t="s">
        <v>22</v>
      </c>
      <c r="G22" s="8" t="s">
        <v>23</v>
      </c>
      <c r="H22" s="9" t="n">
        <v>1</v>
      </c>
      <c r="I22" s="10" t="n">
        <v>98</v>
      </c>
      <c r="J22" s="9" t="s">
        <v>24</v>
      </c>
      <c r="K22" s="10" t="n">
        <v>113.68</v>
      </c>
      <c r="L22" s="10" t="n">
        <v>5</v>
      </c>
      <c r="M22" s="10" t="n">
        <v>118.68</v>
      </c>
      <c r="N22" s="11" t="s">
        <v>25</v>
      </c>
    </row>
    <row r="23" customFormat="false" ht="21.75" hidden="false" customHeight="true" outlineLevel="0" collapsed="false">
      <c r="A23" s="12" t="s">
        <v>92</v>
      </c>
      <c r="B23" s="13" t="s">
        <v>93</v>
      </c>
      <c r="C23" s="14" t="s">
        <v>89</v>
      </c>
      <c r="D23" s="14" t="s">
        <v>20</v>
      </c>
      <c r="E23" s="14" t="s">
        <v>94</v>
      </c>
      <c r="F23" s="14" t="s">
        <v>22</v>
      </c>
      <c r="G23" s="8" t="s">
        <v>23</v>
      </c>
      <c r="H23" s="16" t="n">
        <v>1</v>
      </c>
      <c r="I23" s="17" t="n">
        <v>130</v>
      </c>
      <c r="J23" s="16" t="s">
        <v>24</v>
      </c>
      <c r="K23" s="17" t="n">
        <v>150.8</v>
      </c>
      <c r="L23" s="17" t="n">
        <v>5</v>
      </c>
      <c r="M23" s="17" t="n">
        <v>155.8</v>
      </c>
      <c r="N23" s="11" t="s">
        <v>25</v>
      </c>
    </row>
    <row r="24" customFormat="false" ht="21.75" hidden="false" customHeight="true" outlineLevel="0" collapsed="false">
      <c r="A24" s="5" t="s">
        <v>95</v>
      </c>
      <c r="B24" s="6" t="s">
        <v>96</v>
      </c>
      <c r="C24" s="7" t="s">
        <v>89</v>
      </c>
      <c r="D24" s="7" t="s">
        <v>97</v>
      </c>
      <c r="E24" s="7" t="s">
        <v>44</v>
      </c>
      <c r="F24" s="7" t="s">
        <v>22</v>
      </c>
      <c r="G24" s="8" t="s">
        <v>23</v>
      </c>
      <c r="H24" s="9" t="n">
        <v>6</v>
      </c>
      <c r="I24" s="10" t="n">
        <v>5</v>
      </c>
      <c r="J24" s="9" t="s">
        <v>24</v>
      </c>
      <c r="K24" s="10" t="n">
        <v>5.8</v>
      </c>
      <c r="L24" s="10" t="n">
        <v>5</v>
      </c>
      <c r="M24" s="10" t="n">
        <v>10.8</v>
      </c>
      <c r="N24" s="11" t="s">
        <v>25</v>
      </c>
    </row>
    <row r="25" customFormat="false" ht="21.75" hidden="false" customHeight="true" outlineLevel="0" collapsed="false">
      <c r="A25" s="12" t="s">
        <v>98</v>
      </c>
      <c r="B25" s="13" t="s">
        <v>99</v>
      </c>
      <c r="C25" s="14" t="s">
        <v>89</v>
      </c>
      <c r="D25" s="14" t="s">
        <v>20</v>
      </c>
      <c r="E25" s="14" t="s">
        <v>21</v>
      </c>
      <c r="F25" s="14" t="s">
        <v>22</v>
      </c>
      <c r="G25" s="8" t="s">
        <v>23</v>
      </c>
      <c r="H25" s="16" t="n">
        <v>0</v>
      </c>
      <c r="I25" s="17" t="n">
        <v>450</v>
      </c>
      <c r="J25" s="16" t="s">
        <v>24</v>
      </c>
      <c r="K25" s="17" t="n">
        <v>522</v>
      </c>
      <c r="L25" s="17" t="n">
        <v>5</v>
      </c>
      <c r="M25" s="17" t="n">
        <v>527</v>
      </c>
      <c r="N25" s="18" t="s">
        <v>50</v>
      </c>
    </row>
    <row r="26" customFormat="false" ht="21.75" hidden="false" customHeight="true" outlineLevel="0" collapsed="false">
      <c r="A26" s="5" t="s">
        <v>100</v>
      </c>
      <c r="B26" s="6" t="s">
        <v>101</v>
      </c>
      <c r="C26" s="7" t="s">
        <v>89</v>
      </c>
      <c r="D26" s="7" t="s">
        <v>102</v>
      </c>
      <c r="E26" s="7" t="s">
        <v>103</v>
      </c>
      <c r="F26" s="7" t="s">
        <v>30</v>
      </c>
      <c r="G26" s="15" t="s">
        <v>31</v>
      </c>
      <c r="H26" s="9" t="n">
        <v>4</v>
      </c>
      <c r="I26" s="10" t="n">
        <v>87</v>
      </c>
      <c r="J26" s="9" t="s">
        <v>32</v>
      </c>
      <c r="K26" s="7"/>
      <c r="L26" s="7"/>
      <c r="M26" s="7"/>
      <c r="N26" s="11" t="s">
        <v>25</v>
      </c>
    </row>
    <row r="27" customFormat="false" ht="21.75" hidden="false" customHeight="true" outlineLevel="0" collapsed="false">
      <c r="A27" s="12" t="s">
        <v>104</v>
      </c>
      <c r="B27" s="13" t="s">
        <v>105</v>
      </c>
      <c r="C27" s="14" t="s">
        <v>89</v>
      </c>
      <c r="D27" s="14" t="s">
        <v>106</v>
      </c>
      <c r="E27" s="14" t="s">
        <v>29</v>
      </c>
      <c r="F27" s="14" t="s">
        <v>30</v>
      </c>
      <c r="G27" s="15" t="s">
        <v>31</v>
      </c>
      <c r="H27" s="16" t="n">
        <v>0</v>
      </c>
      <c r="I27" s="17" t="n">
        <v>55</v>
      </c>
      <c r="J27" s="16" t="s">
        <v>32</v>
      </c>
      <c r="K27" s="14"/>
      <c r="L27" s="14"/>
      <c r="M27" s="14"/>
      <c r="N27" s="18" t="s">
        <v>50</v>
      </c>
    </row>
    <row r="28" customFormat="false" ht="21.75" hidden="false" customHeight="true" outlineLevel="0" collapsed="false">
      <c r="A28" s="5" t="s">
        <v>107</v>
      </c>
      <c r="B28" s="6" t="s">
        <v>108</v>
      </c>
      <c r="C28" s="7" t="s">
        <v>109</v>
      </c>
      <c r="D28" s="7" t="s">
        <v>110</v>
      </c>
      <c r="E28" s="7" t="s">
        <v>111</v>
      </c>
      <c r="F28" s="7" t="s">
        <v>22</v>
      </c>
      <c r="G28" s="8" t="s">
        <v>23</v>
      </c>
      <c r="H28" s="9" t="n">
        <v>2</v>
      </c>
      <c r="I28" s="10" t="n">
        <v>195.99</v>
      </c>
      <c r="J28" s="9" t="s">
        <v>24</v>
      </c>
      <c r="K28" s="10" t="n">
        <v>227.35</v>
      </c>
      <c r="L28" s="10" t="n">
        <v>5</v>
      </c>
      <c r="M28" s="10" t="n">
        <v>232.35</v>
      </c>
      <c r="N28" s="11" t="s">
        <v>25</v>
      </c>
    </row>
    <row r="29" customFormat="false" ht="21.75" hidden="false" customHeight="true" outlineLevel="0" collapsed="false">
      <c r="A29" s="12" t="s">
        <v>112</v>
      </c>
      <c r="B29" s="13" t="s">
        <v>113</v>
      </c>
      <c r="C29" s="14" t="s">
        <v>109</v>
      </c>
      <c r="D29" s="14" t="s">
        <v>114</v>
      </c>
      <c r="E29" s="14" t="s">
        <v>111</v>
      </c>
      <c r="F29" s="14" t="s">
        <v>22</v>
      </c>
      <c r="G29" s="8" t="s">
        <v>23</v>
      </c>
      <c r="H29" s="16" t="n">
        <v>0</v>
      </c>
      <c r="I29" s="17" t="n">
        <v>51.72</v>
      </c>
      <c r="J29" s="16" t="s">
        <v>24</v>
      </c>
      <c r="K29" s="17" t="n">
        <v>60</v>
      </c>
      <c r="L29" s="17" t="n">
        <v>5</v>
      </c>
      <c r="M29" s="17" t="n">
        <v>65</v>
      </c>
      <c r="N29" s="18" t="s">
        <v>50</v>
      </c>
    </row>
    <row r="30" customFormat="false" ht="21.75" hidden="false" customHeight="true" outlineLevel="0" collapsed="false">
      <c r="A30" s="5" t="s">
        <v>115</v>
      </c>
      <c r="B30" s="6" t="s">
        <v>116</v>
      </c>
      <c r="C30" s="7" t="s">
        <v>109</v>
      </c>
      <c r="D30" s="7" t="s">
        <v>117</v>
      </c>
      <c r="E30" s="7" t="s">
        <v>111</v>
      </c>
      <c r="F30" s="7" t="s">
        <v>22</v>
      </c>
      <c r="G30" s="8" t="s">
        <v>23</v>
      </c>
      <c r="H30" s="9" t="n">
        <v>2</v>
      </c>
      <c r="I30" s="10" t="n">
        <v>39.99</v>
      </c>
      <c r="J30" s="9" t="s">
        <v>24</v>
      </c>
      <c r="K30" s="10" t="n">
        <v>46.39</v>
      </c>
      <c r="L30" s="10" t="n">
        <v>5</v>
      </c>
      <c r="M30" s="10" t="n">
        <v>51.39</v>
      </c>
      <c r="N30" s="11" t="s">
        <v>25</v>
      </c>
    </row>
    <row r="31" customFormat="false" ht="21.75" hidden="false" customHeight="true" outlineLevel="0" collapsed="false">
      <c r="A31" s="12" t="s">
        <v>118</v>
      </c>
      <c r="B31" s="13" t="s">
        <v>119</v>
      </c>
      <c r="C31" s="14" t="s">
        <v>109</v>
      </c>
      <c r="D31" s="14" t="s">
        <v>120</v>
      </c>
      <c r="E31" s="14" t="s">
        <v>121</v>
      </c>
      <c r="F31" s="14" t="s">
        <v>22</v>
      </c>
      <c r="G31" s="8" t="s">
        <v>23</v>
      </c>
      <c r="H31" s="16" t="n">
        <v>6</v>
      </c>
      <c r="I31" s="17" t="n">
        <v>13.99</v>
      </c>
      <c r="J31" s="16" t="s">
        <v>24</v>
      </c>
      <c r="K31" s="17" t="n">
        <v>16.23</v>
      </c>
      <c r="L31" s="17" t="n">
        <v>5</v>
      </c>
      <c r="M31" s="17" t="n">
        <v>21.23</v>
      </c>
      <c r="N31" s="11" t="s">
        <v>25</v>
      </c>
    </row>
    <row r="32" customFormat="false" ht="21.75" hidden="false" customHeight="true" outlineLevel="0" collapsed="false">
      <c r="A32" s="5" t="s">
        <v>122</v>
      </c>
      <c r="B32" s="6" t="s">
        <v>123</v>
      </c>
      <c r="C32" s="7" t="s">
        <v>109</v>
      </c>
      <c r="D32" s="7" t="s">
        <v>120</v>
      </c>
      <c r="E32" s="7" t="s">
        <v>121</v>
      </c>
      <c r="F32" s="7" t="s">
        <v>22</v>
      </c>
      <c r="G32" s="8" t="s">
        <v>23</v>
      </c>
      <c r="H32" s="9" t="n">
        <v>11</v>
      </c>
      <c r="I32" s="10" t="n">
        <v>11.25</v>
      </c>
      <c r="J32" s="9" t="s">
        <v>24</v>
      </c>
      <c r="K32" s="10" t="n">
        <v>13.05</v>
      </c>
      <c r="L32" s="10" t="n">
        <v>5</v>
      </c>
      <c r="M32" s="10" t="n">
        <v>18.05</v>
      </c>
      <c r="N32" s="11" t="s">
        <v>25</v>
      </c>
    </row>
    <row r="33" customFormat="false" ht="21.75" hidden="false" customHeight="true" outlineLevel="0" collapsed="false">
      <c r="A33" s="12" t="s">
        <v>124</v>
      </c>
      <c r="B33" s="13" t="s">
        <v>125</v>
      </c>
      <c r="C33" s="14" t="s">
        <v>109</v>
      </c>
      <c r="D33" s="14" t="s">
        <v>120</v>
      </c>
      <c r="E33" s="14" t="s">
        <v>111</v>
      </c>
      <c r="F33" s="14" t="s">
        <v>22</v>
      </c>
      <c r="G33" s="8" t="s">
        <v>23</v>
      </c>
      <c r="H33" s="16" t="n">
        <v>1</v>
      </c>
      <c r="I33" s="17" t="n">
        <v>48.99</v>
      </c>
      <c r="J33" s="16" t="s">
        <v>24</v>
      </c>
      <c r="K33" s="17" t="n">
        <v>56.83</v>
      </c>
      <c r="L33" s="17" t="n">
        <v>5</v>
      </c>
      <c r="M33" s="17" t="n">
        <v>61.83</v>
      </c>
      <c r="N33" s="11" t="s">
        <v>25</v>
      </c>
    </row>
    <row r="34" customFormat="false" ht="21.75" hidden="false" customHeight="true" outlineLevel="0" collapsed="false">
      <c r="A34" s="5" t="s">
        <v>126</v>
      </c>
      <c r="B34" s="6" t="s">
        <v>127</v>
      </c>
      <c r="C34" s="7" t="s">
        <v>109</v>
      </c>
      <c r="D34" s="7" t="s">
        <v>128</v>
      </c>
      <c r="E34" s="7" t="s">
        <v>111</v>
      </c>
      <c r="F34" s="7" t="s">
        <v>22</v>
      </c>
      <c r="G34" s="8" t="s">
        <v>23</v>
      </c>
      <c r="H34" s="9" t="n">
        <v>1</v>
      </c>
      <c r="I34" s="10" t="n">
        <v>158.99</v>
      </c>
      <c r="J34" s="9" t="s">
        <v>24</v>
      </c>
      <c r="K34" s="10" t="n">
        <v>184.43</v>
      </c>
      <c r="L34" s="10" t="n">
        <v>5</v>
      </c>
      <c r="M34" s="10" t="n">
        <v>189.43</v>
      </c>
      <c r="N34" s="11" t="s">
        <v>25</v>
      </c>
    </row>
    <row r="35" customFormat="false" ht="21.75" hidden="false" customHeight="true" outlineLevel="0" collapsed="false">
      <c r="A35" s="12" t="s">
        <v>129</v>
      </c>
      <c r="B35" s="13" t="s">
        <v>130</v>
      </c>
      <c r="C35" s="14" t="s">
        <v>109</v>
      </c>
      <c r="D35" s="14" t="s">
        <v>117</v>
      </c>
      <c r="E35" s="14" t="s">
        <v>111</v>
      </c>
      <c r="F35" s="14" t="s">
        <v>22</v>
      </c>
      <c r="G35" s="8" t="s">
        <v>23</v>
      </c>
      <c r="H35" s="16" t="n">
        <v>1</v>
      </c>
      <c r="I35" s="17" t="n">
        <v>67.23</v>
      </c>
      <c r="J35" s="16" t="s">
        <v>24</v>
      </c>
      <c r="K35" s="17" t="n">
        <v>77.99</v>
      </c>
      <c r="L35" s="17" t="n">
        <v>5</v>
      </c>
      <c r="M35" s="17" t="n">
        <v>82.99</v>
      </c>
      <c r="N35" s="11" t="s">
        <v>25</v>
      </c>
    </row>
    <row r="36" customFormat="false" ht="21.75" hidden="false" customHeight="true" outlineLevel="0" collapsed="false">
      <c r="A36" s="5" t="s">
        <v>131</v>
      </c>
      <c r="B36" s="6" t="s">
        <v>132</v>
      </c>
      <c r="C36" s="7" t="s">
        <v>109</v>
      </c>
      <c r="D36" s="7" t="s">
        <v>28</v>
      </c>
      <c r="E36" s="7" t="s">
        <v>29</v>
      </c>
      <c r="F36" s="7" t="s">
        <v>30</v>
      </c>
      <c r="G36" s="15" t="s">
        <v>31</v>
      </c>
      <c r="H36" s="9" t="n">
        <v>0</v>
      </c>
      <c r="I36" s="10" t="n">
        <v>220</v>
      </c>
      <c r="J36" s="9" t="s">
        <v>32</v>
      </c>
      <c r="K36" s="7"/>
      <c r="L36" s="7"/>
      <c r="M36" s="7"/>
      <c r="N36" s="18" t="s">
        <v>50</v>
      </c>
    </row>
    <row r="37" customFormat="false" ht="21.75" hidden="false" customHeight="true" outlineLevel="0" collapsed="false">
      <c r="A37" s="12" t="s">
        <v>133</v>
      </c>
      <c r="B37" s="13" t="s">
        <v>134</v>
      </c>
      <c r="C37" s="14" t="s">
        <v>109</v>
      </c>
      <c r="D37" s="14" t="s">
        <v>135</v>
      </c>
      <c r="E37" s="14" t="s">
        <v>44</v>
      </c>
      <c r="F37" s="14" t="s">
        <v>22</v>
      </c>
      <c r="G37" s="8" t="s">
        <v>23</v>
      </c>
      <c r="H37" s="16" t="n">
        <v>0</v>
      </c>
      <c r="I37" s="17" t="n">
        <v>0.35</v>
      </c>
      <c r="J37" s="16" t="s">
        <v>24</v>
      </c>
      <c r="K37" s="17" t="n">
        <v>0.41</v>
      </c>
      <c r="L37" s="17" t="n">
        <v>5</v>
      </c>
      <c r="M37" s="17" t="n">
        <v>5.41</v>
      </c>
      <c r="N37" s="18" t="s">
        <v>50</v>
      </c>
    </row>
    <row r="38" customFormat="false" ht="21.75" hidden="false" customHeight="true" outlineLevel="0" collapsed="false">
      <c r="A38" s="5" t="s">
        <v>136</v>
      </c>
      <c r="B38" s="6" t="s">
        <v>137</v>
      </c>
      <c r="C38" s="7" t="s">
        <v>138</v>
      </c>
      <c r="D38" s="7" t="s">
        <v>139</v>
      </c>
      <c r="E38" s="7" t="s">
        <v>44</v>
      </c>
      <c r="F38" s="7" t="s">
        <v>22</v>
      </c>
      <c r="G38" s="8" t="s">
        <v>23</v>
      </c>
      <c r="H38" s="9" t="n">
        <v>16</v>
      </c>
      <c r="I38" s="10" t="n">
        <v>24</v>
      </c>
      <c r="J38" s="9" t="s">
        <v>24</v>
      </c>
      <c r="K38" s="10" t="n">
        <v>27.84</v>
      </c>
      <c r="L38" s="10" t="n">
        <v>5</v>
      </c>
      <c r="M38" s="10" t="n">
        <v>32.84</v>
      </c>
      <c r="N38" s="11" t="s">
        <v>25</v>
      </c>
    </row>
    <row r="39" customFormat="false" ht="21.75" hidden="false" customHeight="true" outlineLevel="0" collapsed="false">
      <c r="A39" s="12" t="s">
        <v>140</v>
      </c>
      <c r="B39" s="13" t="s">
        <v>141</v>
      </c>
      <c r="C39" s="14" t="s">
        <v>138</v>
      </c>
      <c r="D39" s="14" t="s">
        <v>32</v>
      </c>
      <c r="E39" s="14" t="s">
        <v>142</v>
      </c>
      <c r="F39" s="14" t="s">
        <v>22</v>
      </c>
      <c r="G39" s="8" t="s">
        <v>23</v>
      </c>
      <c r="H39" s="16" t="n">
        <v>4</v>
      </c>
      <c r="I39" s="17" t="n">
        <v>33</v>
      </c>
      <c r="J39" s="16" t="s">
        <v>24</v>
      </c>
      <c r="K39" s="17" t="n">
        <v>38.28</v>
      </c>
      <c r="L39" s="17" t="n">
        <v>5</v>
      </c>
      <c r="M39" s="17" t="n">
        <v>43.28</v>
      </c>
      <c r="N39" s="11" t="s">
        <v>25</v>
      </c>
    </row>
    <row r="40" customFormat="false" ht="21.75" hidden="false" customHeight="true" outlineLevel="0" collapsed="false">
      <c r="A40" s="5" t="s">
        <v>143</v>
      </c>
      <c r="B40" s="6" t="s">
        <v>144</v>
      </c>
      <c r="C40" s="7" t="s">
        <v>138</v>
      </c>
      <c r="D40" s="7" t="s">
        <v>32</v>
      </c>
      <c r="E40" s="7" t="s">
        <v>142</v>
      </c>
      <c r="F40" s="7" t="s">
        <v>22</v>
      </c>
      <c r="G40" s="8" t="s">
        <v>23</v>
      </c>
      <c r="H40" s="9" t="n">
        <v>0</v>
      </c>
      <c r="I40" s="10" t="n">
        <v>45</v>
      </c>
      <c r="J40" s="9" t="s">
        <v>24</v>
      </c>
      <c r="K40" s="10" t="n">
        <v>52.2</v>
      </c>
      <c r="L40" s="10" t="n">
        <v>5</v>
      </c>
      <c r="M40" s="10" t="n">
        <v>57.2</v>
      </c>
      <c r="N40" s="18" t="s">
        <v>50</v>
      </c>
    </row>
    <row r="41" customFormat="false" ht="21.75" hidden="false" customHeight="true" outlineLevel="0" collapsed="false">
      <c r="A41" s="12" t="s">
        <v>145</v>
      </c>
      <c r="B41" s="13" t="s">
        <v>146</v>
      </c>
      <c r="C41" s="14" t="s">
        <v>138</v>
      </c>
      <c r="D41" s="14" t="s">
        <v>147</v>
      </c>
      <c r="E41" s="14" t="s">
        <v>111</v>
      </c>
      <c r="F41" s="14" t="s">
        <v>22</v>
      </c>
      <c r="G41" s="8" t="s">
        <v>23</v>
      </c>
      <c r="H41" s="16" t="n">
        <v>3</v>
      </c>
      <c r="I41" s="14"/>
      <c r="J41" s="16" t="s">
        <v>32</v>
      </c>
      <c r="K41" s="14"/>
      <c r="L41" s="17" t="n">
        <v>5</v>
      </c>
      <c r="M41" s="17" t="n">
        <v>5</v>
      </c>
      <c r="N41" s="11" t="s">
        <v>25</v>
      </c>
    </row>
    <row r="42" customFormat="false" ht="21.75" hidden="false" customHeight="true" outlineLevel="0" collapsed="false">
      <c r="A42" s="5" t="s">
        <v>148</v>
      </c>
      <c r="B42" s="6" t="s">
        <v>149</v>
      </c>
      <c r="C42" s="7" t="s">
        <v>138</v>
      </c>
      <c r="D42" s="7" t="s">
        <v>150</v>
      </c>
      <c r="E42" s="7" t="s">
        <v>44</v>
      </c>
      <c r="F42" s="7" t="s">
        <v>22</v>
      </c>
      <c r="G42" s="8" t="s">
        <v>23</v>
      </c>
      <c r="H42" s="9" t="n">
        <v>5</v>
      </c>
      <c r="I42" s="10" t="n">
        <v>7.5</v>
      </c>
      <c r="J42" s="9" t="s">
        <v>24</v>
      </c>
      <c r="K42" s="10" t="n">
        <v>8.7</v>
      </c>
      <c r="L42" s="10" t="n">
        <v>5</v>
      </c>
      <c r="M42" s="10" t="n">
        <v>13.7</v>
      </c>
      <c r="N42" s="11" t="s">
        <v>25</v>
      </c>
    </row>
    <row r="43" customFormat="false" ht="21.75" hidden="false" customHeight="true" outlineLevel="0" collapsed="false">
      <c r="A43" s="12" t="s">
        <v>151</v>
      </c>
      <c r="B43" s="13" t="s">
        <v>152</v>
      </c>
      <c r="C43" s="14" t="s">
        <v>138</v>
      </c>
      <c r="D43" s="14" t="s">
        <v>153</v>
      </c>
      <c r="E43" s="14" t="s">
        <v>154</v>
      </c>
      <c r="F43" s="14" t="s">
        <v>155</v>
      </c>
      <c r="G43" s="8" t="s">
        <v>23</v>
      </c>
      <c r="H43" s="16" t="n">
        <v>7</v>
      </c>
      <c r="I43" s="17" t="n">
        <v>10</v>
      </c>
      <c r="J43" s="16" t="s">
        <v>24</v>
      </c>
      <c r="K43" s="17" t="n">
        <v>11.6</v>
      </c>
      <c r="L43" s="17" t="n">
        <v>5</v>
      </c>
      <c r="M43" s="17" t="n">
        <v>16.6</v>
      </c>
      <c r="N43" s="11" t="s">
        <v>25</v>
      </c>
    </row>
    <row r="44" customFormat="false" ht="21.75" hidden="false" customHeight="true" outlineLevel="0" collapsed="false">
      <c r="A44" s="5" t="s">
        <v>156</v>
      </c>
      <c r="B44" s="6" t="s">
        <v>157</v>
      </c>
      <c r="C44" s="7" t="s">
        <v>138</v>
      </c>
      <c r="D44" s="7" t="s">
        <v>158</v>
      </c>
      <c r="E44" s="7" t="s">
        <v>159</v>
      </c>
      <c r="F44" s="7" t="s">
        <v>22</v>
      </c>
      <c r="G44" s="8" t="s">
        <v>23</v>
      </c>
      <c r="H44" s="9" t="n">
        <v>0</v>
      </c>
      <c r="I44" s="10" t="n">
        <v>119</v>
      </c>
      <c r="J44" s="9" t="s">
        <v>24</v>
      </c>
      <c r="K44" s="10" t="n">
        <v>138.04</v>
      </c>
      <c r="L44" s="10" t="n">
        <v>5</v>
      </c>
      <c r="M44" s="10" t="n">
        <v>143.04</v>
      </c>
      <c r="N44" s="18" t="s">
        <v>50</v>
      </c>
    </row>
    <row r="45" customFormat="false" ht="21.75" hidden="false" customHeight="true" outlineLevel="0" collapsed="false">
      <c r="A45" s="12" t="s">
        <v>160</v>
      </c>
      <c r="B45" s="13" t="s">
        <v>161</v>
      </c>
      <c r="C45" s="14" t="s">
        <v>138</v>
      </c>
      <c r="D45" s="14" t="s">
        <v>162</v>
      </c>
      <c r="E45" s="14" t="s">
        <v>37</v>
      </c>
      <c r="F45" s="14" t="s">
        <v>22</v>
      </c>
      <c r="G45" s="8" t="s">
        <v>23</v>
      </c>
      <c r="H45" s="16" t="n">
        <v>4</v>
      </c>
      <c r="I45" s="17" t="n">
        <v>145</v>
      </c>
      <c r="J45" s="16" t="s">
        <v>24</v>
      </c>
      <c r="K45" s="17" t="n">
        <v>168.2</v>
      </c>
      <c r="L45" s="17" t="n">
        <v>5</v>
      </c>
      <c r="M45" s="17" t="n">
        <v>173.2</v>
      </c>
      <c r="N45" s="11" t="s">
        <v>25</v>
      </c>
    </row>
    <row r="46" customFormat="false" ht="21.75" hidden="false" customHeight="true" outlineLevel="0" collapsed="false">
      <c r="A46" s="5" t="s">
        <v>163</v>
      </c>
      <c r="B46" s="6" t="s">
        <v>164</v>
      </c>
      <c r="C46" s="7" t="s">
        <v>138</v>
      </c>
      <c r="D46" s="7" t="s">
        <v>37</v>
      </c>
      <c r="E46" s="7" t="s">
        <v>165</v>
      </c>
      <c r="F46" s="7" t="s">
        <v>22</v>
      </c>
      <c r="G46" s="8" t="s">
        <v>23</v>
      </c>
      <c r="H46" s="9" t="n">
        <v>0</v>
      </c>
      <c r="I46" s="10" t="n">
        <v>2</v>
      </c>
      <c r="J46" s="9" t="s">
        <v>24</v>
      </c>
      <c r="K46" s="10" t="n">
        <v>2.32</v>
      </c>
      <c r="L46" s="10" t="n">
        <v>5</v>
      </c>
      <c r="M46" s="10" t="n">
        <v>7.32</v>
      </c>
      <c r="N46" s="18" t="s">
        <v>50</v>
      </c>
    </row>
    <row r="47" customFormat="false" ht="21.75" hidden="false" customHeight="true" outlineLevel="0" collapsed="false">
      <c r="A47" s="12" t="s">
        <v>166</v>
      </c>
      <c r="B47" s="13" t="s">
        <v>167</v>
      </c>
      <c r="C47" s="14" t="s">
        <v>168</v>
      </c>
      <c r="D47" s="14" t="s">
        <v>169</v>
      </c>
      <c r="E47" s="14" t="s">
        <v>72</v>
      </c>
      <c r="F47" s="14" t="s">
        <v>22</v>
      </c>
      <c r="G47" s="8" t="s">
        <v>23</v>
      </c>
      <c r="H47" s="16" t="n">
        <v>2</v>
      </c>
      <c r="I47" s="17" t="n">
        <v>322</v>
      </c>
      <c r="J47" s="16" t="s">
        <v>24</v>
      </c>
      <c r="K47" s="17" t="n">
        <v>373.52</v>
      </c>
      <c r="L47" s="17" t="n">
        <v>5</v>
      </c>
      <c r="M47" s="17" t="n">
        <v>378.52</v>
      </c>
      <c r="N47" s="11" t="s">
        <v>25</v>
      </c>
    </row>
    <row r="48" customFormat="false" ht="21.75" hidden="false" customHeight="true" outlineLevel="0" collapsed="false">
      <c r="A48" s="5" t="s">
        <v>170</v>
      </c>
      <c r="B48" s="6" t="s">
        <v>171</v>
      </c>
      <c r="C48" s="7" t="s">
        <v>168</v>
      </c>
      <c r="D48" s="7" t="s">
        <v>71</v>
      </c>
      <c r="E48" s="7" t="s">
        <v>72</v>
      </c>
      <c r="F48" s="7" t="s">
        <v>22</v>
      </c>
      <c r="G48" s="8" t="s">
        <v>23</v>
      </c>
      <c r="H48" s="9" t="n">
        <v>2</v>
      </c>
      <c r="I48" s="10" t="n">
        <v>688</v>
      </c>
      <c r="J48" s="9" t="s">
        <v>24</v>
      </c>
      <c r="K48" s="10" t="n">
        <v>798.08</v>
      </c>
      <c r="L48" s="10" t="n">
        <v>5</v>
      </c>
      <c r="M48" s="10" t="n">
        <v>803.08</v>
      </c>
      <c r="N48" s="11" t="s">
        <v>25</v>
      </c>
    </row>
    <row r="49" customFormat="false" ht="21.75" hidden="false" customHeight="true" outlineLevel="0" collapsed="false">
      <c r="A49" s="12" t="s">
        <v>172</v>
      </c>
      <c r="B49" s="13" t="s">
        <v>173</v>
      </c>
      <c r="C49" s="14" t="s">
        <v>168</v>
      </c>
      <c r="D49" s="14" t="s">
        <v>71</v>
      </c>
      <c r="E49" s="14" t="s">
        <v>72</v>
      </c>
      <c r="F49" s="14" t="s">
        <v>22</v>
      </c>
      <c r="G49" s="8" t="s">
        <v>23</v>
      </c>
      <c r="H49" s="16" t="n">
        <v>2</v>
      </c>
      <c r="I49" s="17" t="n">
        <v>98</v>
      </c>
      <c r="J49" s="16" t="s">
        <v>24</v>
      </c>
      <c r="K49" s="17" t="n">
        <v>113.68</v>
      </c>
      <c r="L49" s="17" t="n">
        <v>5</v>
      </c>
      <c r="M49" s="17" t="n">
        <v>118.68</v>
      </c>
      <c r="N49" s="11" t="s">
        <v>25</v>
      </c>
    </row>
    <row r="50" customFormat="false" ht="21.75" hidden="false" customHeight="true" outlineLevel="0" collapsed="false">
      <c r="A50" s="5" t="s">
        <v>174</v>
      </c>
      <c r="B50" s="6" t="s">
        <v>175</v>
      </c>
      <c r="C50" s="7" t="s">
        <v>168</v>
      </c>
      <c r="D50" s="7" t="s">
        <v>176</v>
      </c>
      <c r="E50" s="7" t="s">
        <v>177</v>
      </c>
      <c r="F50" s="7" t="s">
        <v>30</v>
      </c>
      <c r="G50" s="15" t="s">
        <v>31</v>
      </c>
      <c r="H50" s="9" t="n">
        <v>3</v>
      </c>
      <c r="I50" s="10" t="n">
        <v>75</v>
      </c>
      <c r="J50" s="9" t="s">
        <v>32</v>
      </c>
      <c r="K50" s="7"/>
      <c r="L50" s="7"/>
      <c r="M50" s="7"/>
      <c r="N50" s="11" t="s">
        <v>25</v>
      </c>
    </row>
    <row r="51" customFormat="false" ht="21.75" hidden="false" customHeight="true" outlineLevel="0" collapsed="false">
      <c r="A51" s="12" t="s">
        <v>178</v>
      </c>
      <c r="B51" s="13" t="s">
        <v>179</v>
      </c>
      <c r="C51" s="14" t="s">
        <v>168</v>
      </c>
      <c r="D51" s="14" t="s">
        <v>180</v>
      </c>
      <c r="E51" s="14" t="s">
        <v>181</v>
      </c>
      <c r="F51" s="14" t="s">
        <v>22</v>
      </c>
      <c r="G51" s="8" t="s">
        <v>23</v>
      </c>
      <c r="H51" s="16" t="n">
        <v>1</v>
      </c>
      <c r="I51" s="17" t="n">
        <v>85</v>
      </c>
      <c r="J51" s="16" t="s">
        <v>24</v>
      </c>
      <c r="K51" s="17" t="n">
        <v>98.6</v>
      </c>
      <c r="L51" s="17" t="n">
        <v>5</v>
      </c>
      <c r="M51" s="17" t="n">
        <v>103.6</v>
      </c>
      <c r="N51" s="11" t="s">
        <v>25</v>
      </c>
    </row>
    <row r="52" customFormat="false" ht="21.75" hidden="false" customHeight="true" outlineLevel="0" collapsed="false">
      <c r="A52" s="5" t="s">
        <v>182</v>
      </c>
      <c r="B52" s="6" t="s">
        <v>183</v>
      </c>
      <c r="C52" s="7" t="s">
        <v>168</v>
      </c>
      <c r="D52" s="7" t="s">
        <v>180</v>
      </c>
      <c r="E52" s="7" t="s">
        <v>181</v>
      </c>
      <c r="F52" s="7" t="s">
        <v>22</v>
      </c>
      <c r="G52" s="8" t="s">
        <v>23</v>
      </c>
      <c r="H52" s="9" t="n">
        <v>2</v>
      </c>
      <c r="I52" s="10" t="n">
        <v>30</v>
      </c>
      <c r="J52" s="9" t="s">
        <v>24</v>
      </c>
      <c r="K52" s="10" t="n">
        <v>34.8</v>
      </c>
      <c r="L52" s="10" t="n">
        <v>5</v>
      </c>
      <c r="M52" s="10" t="n">
        <v>39.8</v>
      </c>
      <c r="N52" s="11" t="s">
        <v>25</v>
      </c>
    </row>
    <row r="53" customFormat="false" ht="21.75" hidden="false" customHeight="true" outlineLevel="0" collapsed="false">
      <c r="A53" s="12" t="s">
        <v>184</v>
      </c>
      <c r="B53" s="13" t="s">
        <v>185</v>
      </c>
      <c r="C53" s="14" t="s">
        <v>168</v>
      </c>
      <c r="D53" s="14" t="s">
        <v>37</v>
      </c>
      <c r="E53" s="14" t="s">
        <v>38</v>
      </c>
      <c r="F53" s="14" t="s">
        <v>39</v>
      </c>
      <c r="G53" s="8" t="s">
        <v>23</v>
      </c>
      <c r="H53" s="16" t="n">
        <v>3</v>
      </c>
      <c r="I53" s="14"/>
      <c r="J53" s="16" t="s">
        <v>32</v>
      </c>
      <c r="K53" s="14"/>
      <c r="L53" s="17" t="n">
        <v>10</v>
      </c>
      <c r="M53" s="17" t="n">
        <v>10</v>
      </c>
      <c r="N53" s="11" t="s">
        <v>25</v>
      </c>
    </row>
    <row r="55" customFormat="false" ht="21.75" hidden="false" customHeight="true" outlineLevel="0" collapsed="false">
      <c r="A55" s="19" t="s">
        <v>186</v>
      </c>
      <c r="B55" s="19"/>
      <c r="C55" s="19"/>
      <c r="D55" s="19"/>
      <c r="E55" s="19"/>
      <c r="F55" s="19"/>
      <c r="G55" s="19"/>
    </row>
  </sheetData>
  <mergeCells count="4">
    <mergeCell ref="A1:N1"/>
    <mergeCell ref="A2:G2"/>
    <mergeCell ref="H2:N2"/>
    <mergeCell ref="A55:G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20" t="s">
        <v>187</v>
      </c>
      <c r="B1" s="20"/>
      <c r="C1" s="20"/>
      <c r="D1" s="20"/>
      <c r="E1" s="20"/>
      <c r="F1" s="20"/>
    </row>
    <row r="2" customFormat="false" ht="24" hidden="false" customHeight="true" outlineLevel="0" collapsed="false">
      <c r="A2" s="21" t="s">
        <v>5</v>
      </c>
      <c r="B2" s="21" t="s">
        <v>188</v>
      </c>
      <c r="C2" s="21" t="s">
        <v>189</v>
      </c>
      <c r="D2" s="21" t="s">
        <v>190</v>
      </c>
      <c r="E2" s="21" t="s">
        <v>191</v>
      </c>
      <c r="F2" s="21" t="s">
        <v>192</v>
      </c>
    </row>
    <row r="3" customFormat="false" ht="21.75" hidden="false" customHeight="true" outlineLevel="0" collapsed="false">
      <c r="A3" s="13" t="s">
        <v>19</v>
      </c>
      <c r="B3" s="16" t="n">
        <v>4</v>
      </c>
      <c r="C3" s="16" t="n">
        <v>4</v>
      </c>
      <c r="D3" s="16" t="n">
        <v>0</v>
      </c>
      <c r="E3" s="22" t="n">
        <v>1</v>
      </c>
      <c r="F3" s="16" t="s">
        <v>193</v>
      </c>
    </row>
    <row r="4" customFormat="false" ht="21.75" hidden="false" customHeight="true" outlineLevel="0" collapsed="false">
      <c r="A4" s="6" t="s">
        <v>42</v>
      </c>
      <c r="B4" s="9" t="n">
        <v>5</v>
      </c>
      <c r="C4" s="9" t="n">
        <v>3</v>
      </c>
      <c r="D4" s="9" t="n">
        <v>2</v>
      </c>
      <c r="E4" s="23" t="n">
        <v>0.6</v>
      </c>
      <c r="F4" s="9" t="s">
        <v>194</v>
      </c>
    </row>
    <row r="5" customFormat="false" ht="21.75" hidden="false" customHeight="true" outlineLevel="0" collapsed="false">
      <c r="A5" s="13" t="s">
        <v>138</v>
      </c>
      <c r="B5" s="16" t="n">
        <v>9</v>
      </c>
      <c r="C5" s="16" t="n">
        <v>6</v>
      </c>
      <c r="D5" s="16" t="n">
        <v>3</v>
      </c>
      <c r="E5" s="23" t="n">
        <v>0.666666666666667</v>
      </c>
      <c r="F5" s="16" t="s">
        <v>193</v>
      </c>
    </row>
    <row r="6" customFormat="false" ht="21.75" hidden="false" customHeight="true" outlineLevel="0" collapsed="false">
      <c r="A6" s="6" t="s">
        <v>79</v>
      </c>
      <c r="B6" s="9" t="n">
        <v>3</v>
      </c>
      <c r="C6" s="9" t="n">
        <v>2</v>
      </c>
      <c r="D6" s="9" t="n">
        <v>1</v>
      </c>
      <c r="E6" s="23" t="n">
        <v>0.666666666666667</v>
      </c>
      <c r="F6" s="9" t="s">
        <v>194</v>
      </c>
    </row>
    <row r="7" customFormat="false" ht="21.75" hidden="false" customHeight="true" outlineLevel="0" collapsed="false">
      <c r="A7" s="13" t="s">
        <v>59</v>
      </c>
      <c r="B7" s="16" t="n">
        <v>6</v>
      </c>
      <c r="C7" s="16" t="n">
        <v>4</v>
      </c>
      <c r="D7" s="16" t="n">
        <v>2</v>
      </c>
      <c r="E7" s="23" t="n">
        <v>0.666666666666667</v>
      </c>
      <c r="F7" s="16" t="s">
        <v>193</v>
      </c>
    </row>
    <row r="8" customFormat="false" ht="21.75" hidden="false" customHeight="true" outlineLevel="0" collapsed="false">
      <c r="A8" s="6" t="s">
        <v>168</v>
      </c>
      <c r="B8" s="9" t="n">
        <v>7</v>
      </c>
      <c r="C8" s="9" t="n">
        <v>7</v>
      </c>
      <c r="D8" s="9" t="n">
        <v>0</v>
      </c>
      <c r="E8" s="22" t="n">
        <v>1</v>
      </c>
      <c r="F8" s="9" t="s">
        <v>193</v>
      </c>
    </row>
    <row r="9" customFormat="false" ht="21.75" hidden="false" customHeight="true" outlineLevel="0" collapsed="false">
      <c r="A9" s="13" t="s">
        <v>109</v>
      </c>
      <c r="B9" s="16" t="n">
        <v>10</v>
      </c>
      <c r="C9" s="16" t="n">
        <v>7</v>
      </c>
      <c r="D9" s="16" t="n">
        <v>3</v>
      </c>
      <c r="E9" s="23" t="n">
        <v>0.7</v>
      </c>
      <c r="F9" s="16" t="s">
        <v>193</v>
      </c>
    </row>
    <row r="10" customFormat="false" ht="21.75" hidden="false" customHeight="true" outlineLevel="0" collapsed="false">
      <c r="A10" s="6" t="s">
        <v>89</v>
      </c>
      <c r="B10" s="9" t="n">
        <v>6</v>
      </c>
      <c r="C10" s="9" t="n">
        <v>4</v>
      </c>
      <c r="D10" s="9" t="n">
        <v>2</v>
      </c>
      <c r="E10" s="23" t="n">
        <v>0.666666666666667</v>
      </c>
      <c r="F10" s="9" t="s">
        <v>193</v>
      </c>
    </row>
    <row r="12" customFormat="false" ht="24" hidden="false" customHeight="true" outlineLevel="0" collapsed="false">
      <c r="A12" s="24" t="s">
        <v>195</v>
      </c>
      <c r="B12" s="25" t="n">
        <f aca="false">SUM(B3:B10)</f>
        <v>50</v>
      </c>
      <c r="C12" s="25" t="n">
        <f aca="false">SUM(C3:C10)</f>
        <v>37</v>
      </c>
      <c r="D12" s="25" t="n">
        <f aca="false">SUM(D3:D10)</f>
        <v>13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</cols>
  <sheetData>
    <row r="1" customFormat="false" ht="27.75" hidden="false" customHeight="true" outlineLevel="0" collapsed="false">
      <c r="A1" s="26" t="s">
        <v>196</v>
      </c>
      <c r="B1" s="26"/>
      <c r="C1" s="26"/>
      <c r="D1" s="26"/>
      <c r="E1" s="26"/>
    </row>
    <row r="3" customFormat="false" ht="15" hidden="false" customHeight="false" outlineLevel="0" collapsed="false">
      <c r="A3" s="27" t="s">
        <v>197</v>
      </c>
      <c r="B3" s="28" t="s">
        <v>17</v>
      </c>
    </row>
    <row r="5" customFormat="false" ht="19.5" hidden="false" customHeight="true" outlineLevel="0" collapsed="false">
      <c r="A5" s="29" t="s">
        <v>198</v>
      </c>
      <c r="B5" s="30" t="str">
        <f aca="false">IFERROR(VLOOKUP($B$3,'📦 Catálogo'!$A:$N,2,0),"— no encontrado —")</f>
        <v>Barrera ZKTeco BGM1060L/R</v>
      </c>
    </row>
    <row r="6" customFormat="false" ht="19.5" hidden="false" customHeight="true" outlineLevel="0" collapsed="false">
      <c r="A6" s="29" t="s">
        <v>199</v>
      </c>
      <c r="B6" s="30" t="str">
        <f aca="false">IFERROR(VLOOKUP($B$3,'📦 Catálogo'!$A:$N,3,0),"— no encontrado —")</f>
        <v>Barreras y Control</v>
      </c>
    </row>
    <row r="7" customFormat="false" ht="19.5" hidden="false" customHeight="true" outlineLevel="0" collapsed="false">
      <c r="A7" s="29" t="s">
        <v>200</v>
      </c>
      <c r="B7" s="30" t="str">
        <f aca="false">IFERROR(VLOOKUP($B$3,'📦 Catálogo'!$A:$N,4,0),"— no encontrado —")</f>
        <v>ZKTeco</v>
      </c>
    </row>
    <row r="8" customFormat="false" ht="19.5" hidden="false" customHeight="true" outlineLevel="0" collapsed="false">
      <c r="A8" s="29" t="s">
        <v>201</v>
      </c>
      <c r="B8" s="30" t="str">
        <f aca="false">IFERROR(VLOOKUP($B$3,'📦 Catálogo'!$A:$N,5,0),"— no encontrado —")</f>
        <v>ZKTeco Venezuela</v>
      </c>
    </row>
    <row r="9" customFormat="false" ht="19.5" hidden="false" customHeight="true" outlineLevel="0" collapsed="false">
      <c r="A9" s="29" t="s">
        <v>202</v>
      </c>
      <c r="B9" s="30" t="n">
        <f aca="false">IFERROR(VLOOKUP($B$3,'📦 Catálogo'!$A:$N,8,0),"— no encontrado —")</f>
        <v>1</v>
      </c>
    </row>
    <row r="10" customFormat="false" ht="19.5" hidden="false" customHeight="true" outlineLevel="0" collapsed="false">
      <c r="A10" s="29" t="s">
        <v>203</v>
      </c>
      <c r="B10" s="31" t="n">
        <f aca="false">IFERROR(VLOOKUP($B$3,'📦 Catálogo'!$A:$N,9,0),"— no encontrado —")</f>
        <v>2250</v>
      </c>
    </row>
    <row r="11" customFormat="false" ht="19.5" hidden="false" customHeight="true" outlineLevel="0" collapsed="false">
      <c r="A11" s="29" t="s">
        <v>204</v>
      </c>
      <c r="B11" s="31" t="n">
        <f aca="false">IFERROR(VLOOKUP($B$3,'📦 Catálogo'!$A:$N,13,0),"— no encontrado —")</f>
        <v>2620</v>
      </c>
    </row>
    <row r="12" customFormat="false" ht="19.5" hidden="false" customHeight="true" outlineLevel="0" collapsed="false">
      <c r="A12" s="29" t="s">
        <v>205</v>
      </c>
      <c r="B12" s="30" t="str">
        <f aca="false">IFERROR(VLOOKUP($B$3,'📦 Catálogo'!$A:$N,7,0),"— no encontrado —")</f>
        <v>VE</v>
      </c>
    </row>
    <row r="15" customFormat="false" ht="15" hidden="false" customHeight="false" outlineLevel="0" collapsed="false">
      <c r="A15" s="32" t="s">
        <v>206</v>
      </c>
      <c r="B15" s="32"/>
      <c r="C15" s="32"/>
      <c r="D15" s="32"/>
      <c r="E15" s="32"/>
    </row>
  </sheetData>
  <mergeCells count="2">
    <mergeCell ref="A1:E1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8"/>
  </cols>
  <sheetData>
    <row r="1" customFormat="false" ht="27.75" hidden="false" customHeight="true" outlineLevel="0" collapsed="false">
      <c r="A1" s="33" t="s">
        <v>207</v>
      </c>
      <c r="B1" s="33"/>
      <c r="C1" s="33"/>
      <c r="D1" s="33"/>
      <c r="E1" s="33"/>
      <c r="F1" s="33"/>
      <c r="G1" s="33"/>
    </row>
    <row r="2" customFormat="false" ht="24" hidden="false" customHeight="true" outlineLevel="0" collapsed="false">
      <c r="A2" s="34" t="s">
        <v>3</v>
      </c>
      <c r="B2" s="34" t="s">
        <v>208</v>
      </c>
      <c r="C2" s="34" t="s">
        <v>5</v>
      </c>
      <c r="D2" s="34" t="s">
        <v>209</v>
      </c>
      <c r="E2" s="34" t="s">
        <v>210</v>
      </c>
      <c r="F2" s="34" t="s">
        <v>211</v>
      </c>
      <c r="G2" s="34" t="s">
        <v>212</v>
      </c>
    </row>
    <row r="3" customFormat="false" ht="21.75" hidden="false" customHeight="true" outlineLevel="0" collapsed="false">
      <c r="A3" s="35" t="s">
        <v>48</v>
      </c>
      <c r="B3" s="14" t="s">
        <v>49</v>
      </c>
      <c r="C3" s="14" t="s">
        <v>42</v>
      </c>
      <c r="D3" s="16" t="n">
        <v>0</v>
      </c>
      <c r="E3" s="16" t="n">
        <v>1</v>
      </c>
      <c r="F3" s="18" t="s">
        <v>213</v>
      </c>
      <c r="G3" s="14" t="s">
        <v>214</v>
      </c>
    </row>
    <row r="4" customFormat="false" ht="21.75" hidden="false" customHeight="true" outlineLevel="0" collapsed="false">
      <c r="A4" s="36" t="s">
        <v>51</v>
      </c>
      <c r="B4" s="7" t="s">
        <v>52</v>
      </c>
      <c r="C4" s="7" t="s">
        <v>42</v>
      </c>
      <c r="D4" s="9" t="n">
        <v>0</v>
      </c>
      <c r="E4" s="9" t="n">
        <v>1</v>
      </c>
      <c r="F4" s="18" t="s">
        <v>213</v>
      </c>
      <c r="G4" s="7" t="s">
        <v>214</v>
      </c>
    </row>
    <row r="5" customFormat="false" ht="21.75" hidden="false" customHeight="true" outlineLevel="0" collapsed="false">
      <c r="A5" s="35" t="s">
        <v>64</v>
      </c>
      <c r="B5" s="14" t="s">
        <v>65</v>
      </c>
      <c r="C5" s="14" t="s">
        <v>59</v>
      </c>
      <c r="D5" s="16" t="n">
        <v>0</v>
      </c>
      <c r="E5" s="16" t="n">
        <v>2</v>
      </c>
      <c r="F5" s="18" t="s">
        <v>213</v>
      </c>
      <c r="G5" s="14" t="s">
        <v>214</v>
      </c>
    </row>
    <row r="6" customFormat="false" ht="21.75" hidden="false" customHeight="true" outlineLevel="0" collapsed="false">
      <c r="A6" s="36" t="s">
        <v>73</v>
      </c>
      <c r="B6" s="7" t="s">
        <v>74</v>
      </c>
      <c r="C6" s="7" t="s">
        <v>59</v>
      </c>
      <c r="D6" s="9" t="n">
        <v>0</v>
      </c>
      <c r="E6" s="9" t="n">
        <v>2</v>
      </c>
      <c r="F6" s="18" t="s">
        <v>213</v>
      </c>
      <c r="G6" s="7" t="s">
        <v>214</v>
      </c>
    </row>
    <row r="7" customFormat="false" ht="21.75" hidden="false" customHeight="true" outlineLevel="0" collapsed="false">
      <c r="A7" s="35" t="s">
        <v>82</v>
      </c>
      <c r="B7" s="14" t="s">
        <v>83</v>
      </c>
      <c r="C7" s="14" t="s">
        <v>79</v>
      </c>
      <c r="D7" s="16" t="n">
        <v>0</v>
      </c>
      <c r="E7" s="16" t="n">
        <v>1</v>
      </c>
      <c r="F7" s="18" t="s">
        <v>213</v>
      </c>
      <c r="G7" s="14" t="s">
        <v>214</v>
      </c>
    </row>
    <row r="8" customFormat="false" ht="21.75" hidden="false" customHeight="true" outlineLevel="0" collapsed="false">
      <c r="A8" s="36" t="s">
        <v>98</v>
      </c>
      <c r="B8" s="7" t="s">
        <v>99</v>
      </c>
      <c r="C8" s="7" t="s">
        <v>89</v>
      </c>
      <c r="D8" s="9" t="n">
        <v>0</v>
      </c>
      <c r="E8" s="9" t="n">
        <v>2</v>
      </c>
      <c r="F8" s="18" t="s">
        <v>213</v>
      </c>
      <c r="G8" s="7" t="s">
        <v>214</v>
      </c>
    </row>
    <row r="9" customFormat="false" ht="21.75" hidden="false" customHeight="true" outlineLevel="0" collapsed="false">
      <c r="A9" s="35" t="s">
        <v>104</v>
      </c>
      <c r="B9" s="14" t="s">
        <v>105</v>
      </c>
      <c r="C9" s="14" t="s">
        <v>89</v>
      </c>
      <c r="D9" s="16" t="n">
        <v>0</v>
      </c>
      <c r="E9" s="16" t="n">
        <v>2</v>
      </c>
      <c r="F9" s="18" t="s">
        <v>213</v>
      </c>
      <c r="G9" s="14" t="s">
        <v>214</v>
      </c>
    </row>
    <row r="10" customFormat="false" ht="21.75" hidden="false" customHeight="true" outlineLevel="0" collapsed="false">
      <c r="A10" s="36" t="s">
        <v>112</v>
      </c>
      <c r="B10" s="7" t="s">
        <v>113</v>
      </c>
      <c r="C10" s="7" t="s">
        <v>109</v>
      </c>
      <c r="D10" s="9" t="n">
        <v>0</v>
      </c>
      <c r="E10" s="9" t="n">
        <v>2</v>
      </c>
      <c r="F10" s="18" t="s">
        <v>213</v>
      </c>
      <c r="G10" s="7" t="s">
        <v>214</v>
      </c>
    </row>
    <row r="11" customFormat="false" ht="21.75" hidden="false" customHeight="true" outlineLevel="0" collapsed="false">
      <c r="A11" s="35" t="s">
        <v>131</v>
      </c>
      <c r="B11" s="14" t="s">
        <v>132</v>
      </c>
      <c r="C11" s="14" t="s">
        <v>109</v>
      </c>
      <c r="D11" s="16" t="n">
        <v>0</v>
      </c>
      <c r="E11" s="16" t="n">
        <v>2</v>
      </c>
      <c r="F11" s="18" t="s">
        <v>213</v>
      </c>
      <c r="G11" s="14" t="s">
        <v>214</v>
      </c>
    </row>
    <row r="12" customFormat="false" ht="21.75" hidden="false" customHeight="true" outlineLevel="0" collapsed="false">
      <c r="A12" s="36" t="s">
        <v>133</v>
      </c>
      <c r="B12" s="7" t="s">
        <v>134</v>
      </c>
      <c r="C12" s="7" t="s">
        <v>109</v>
      </c>
      <c r="D12" s="9" t="n">
        <v>0</v>
      </c>
      <c r="E12" s="9" t="n">
        <v>2</v>
      </c>
      <c r="F12" s="18" t="s">
        <v>213</v>
      </c>
      <c r="G12" s="7" t="s">
        <v>214</v>
      </c>
    </row>
    <row r="13" customFormat="false" ht="21.75" hidden="false" customHeight="true" outlineLevel="0" collapsed="false">
      <c r="A13" s="35" t="s">
        <v>143</v>
      </c>
      <c r="B13" s="14" t="s">
        <v>144</v>
      </c>
      <c r="C13" s="14" t="s">
        <v>138</v>
      </c>
      <c r="D13" s="16" t="n">
        <v>0</v>
      </c>
      <c r="E13" s="16" t="n">
        <v>3</v>
      </c>
      <c r="F13" s="18" t="s">
        <v>213</v>
      </c>
      <c r="G13" s="14" t="s">
        <v>214</v>
      </c>
    </row>
    <row r="14" customFormat="false" ht="21.75" hidden="false" customHeight="true" outlineLevel="0" collapsed="false">
      <c r="A14" s="36" t="s">
        <v>156</v>
      </c>
      <c r="B14" s="7" t="s">
        <v>157</v>
      </c>
      <c r="C14" s="7" t="s">
        <v>138</v>
      </c>
      <c r="D14" s="9" t="n">
        <v>0</v>
      </c>
      <c r="E14" s="9" t="n">
        <v>3</v>
      </c>
      <c r="F14" s="18" t="s">
        <v>213</v>
      </c>
      <c r="G14" s="7" t="s">
        <v>214</v>
      </c>
    </row>
    <row r="15" customFormat="false" ht="21.75" hidden="false" customHeight="true" outlineLevel="0" collapsed="false">
      <c r="A15" s="35" t="s">
        <v>163</v>
      </c>
      <c r="B15" s="14" t="s">
        <v>164</v>
      </c>
      <c r="C15" s="14" t="s">
        <v>138</v>
      </c>
      <c r="D15" s="16" t="n">
        <v>0</v>
      </c>
      <c r="E15" s="16" t="n">
        <v>3</v>
      </c>
      <c r="F15" s="18" t="s">
        <v>213</v>
      </c>
      <c r="G15" s="14" t="s">
        <v>214</v>
      </c>
    </row>
    <row r="16" customFormat="false" ht="21.75" hidden="false" customHeight="true" outlineLevel="0" collapsed="false">
      <c r="A16" s="36" t="s">
        <v>17</v>
      </c>
      <c r="B16" s="7" t="s">
        <v>18</v>
      </c>
      <c r="C16" s="7" t="s">
        <v>19</v>
      </c>
      <c r="D16" s="9" t="n">
        <v>1</v>
      </c>
      <c r="E16" s="9" t="n">
        <v>2</v>
      </c>
      <c r="F16" s="37" t="s">
        <v>215</v>
      </c>
      <c r="G16" s="7" t="s">
        <v>216</v>
      </c>
    </row>
    <row r="17" customFormat="false" ht="21.75" hidden="false" customHeight="true" outlineLevel="0" collapsed="false">
      <c r="A17" s="35" t="s">
        <v>57</v>
      </c>
      <c r="B17" s="14" t="s">
        <v>58</v>
      </c>
      <c r="C17" s="14" t="s">
        <v>59</v>
      </c>
      <c r="D17" s="16" t="n">
        <v>1</v>
      </c>
      <c r="E17" s="16" t="n">
        <v>2</v>
      </c>
      <c r="F17" s="37" t="s">
        <v>215</v>
      </c>
      <c r="G17" s="14" t="s">
        <v>216</v>
      </c>
    </row>
    <row r="18" customFormat="false" ht="21.75" hidden="false" customHeight="true" outlineLevel="0" collapsed="false">
      <c r="A18" s="36" t="s">
        <v>60</v>
      </c>
      <c r="B18" s="7" t="s">
        <v>61</v>
      </c>
      <c r="C18" s="7" t="s">
        <v>59</v>
      </c>
      <c r="D18" s="9" t="n">
        <v>1</v>
      </c>
      <c r="E18" s="9" t="n">
        <v>2</v>
      </c>
      <c r="F18" s="37" t="s">
        <v>215</v>
      </c>
      <c r="G18" s="7" t="s">
        <v>216</v>
      </c>
    </row>
    <row r="19" customFormat="false" ht="21.75" hidden="false" customHeight="true" outlineLevel="0" collapsed="false">
      <c r="A19" s="35" t="s">
        <v>69</v>
      </c>
      <c r="B19" s="14" t="s">
        <v>70</v>
      </c>
      <c r="C19" s="14" t="s">
        <v>59</v>
      </c>
      <c r="D19" s="16" t="n">
        <v>1</v>
      </c>
      <c r="E19" s="16" t="n">
        <v>2</v>
      </c>
      <c r="F19" s="37" t="s">
        <v>215</v>
      </c>
      <c r="G19" s="14" t="s">
        <v>216</v>
      </c>
    </row>
    <row r="20" customFormat="false" ht="21.75" hidden="false" customHeight="true" outlineLevel="0" collapsed="false">
      <c r="A20" s="36" t="s">
        <v>77</v>
      </c>
      <c r="B20" s="7" t="s">
        <v>78</v>
      </c>
      <c r="C20" s="7" t="s">
        <v>79</v>
      </c>
      <c r="D20" s="9" t="n">
        <v>1</v>
      </c>
      <c r="E20" s="9" t="n">
        <v>1</v>
      </c>
      <c r="F20" s="37" t="s">
        <v>215</v>
      </c>
      <c r="G20" s="7" t="s">
        <v>216</v>
      </c>
    </row>
    <row r="21" customFormat="false" ht="21.75" hidden="false" customHeight="true" outlineLevel="0" collapsed="false">
      <c r="A21" s="35" t="s">
        <v>87</v>
      </c>
      <c r="B21" s="14" t="s">
        <v>88</v>
      </c>
      <c r="C21" s="14" t="s">
        <v>89</v>
      </c>
      <c r="D21" s="16" t="n">
        <v>1</v>
      </c>
      <c r="E21" s="16" t="n">
        <v>2</v>
      </c>
      <c r="F21" s="37" t="s">
        <v>215</v>
      </c>
      <c r="G21" s="14" t="s">
        <v>216</v>
      </c>
    </row>
    <row r="22" customFormat="false" ht="21.75" hidden="false" customHeight="true" outlineLevel="0" collapsed="false">
      <c r="A22" s="36" t="s">
        <v>92</v>
      </c>
      <c r="B22" s="7" t="s">
        <v>93</v>
      </c>
      <c r="C22" s="7" t="s">
        <v>89</v>
      </c>
      <c r="D22" s="9" t="n">
        <v>1</v>
      </c>
      <c r="E22" s="9" t="n">
        <v>2</v>
      </c>
      <c r="F22" s="37" t="s">
        <v>215</v>
      </c>
      <c r="G22" s="7" t="s">
        <v>216</v>
      </c>
    </row>
    <row r="23" customFormat="false" ht="21.75" hidden="false" customHeight="true" outlineLevel="0" collapsed="false">
      <c r="A23" s="35" t="s">
        <v>124</v>
      </c>
      <c r="B23" s="14" t="s">
        <v>125</v>
      </c>
      <c r="C23" s="14" t="s">
        <v>109</v>
      </c>
      <c r="D23" s="16" t="n">
        <v>1</v>
      </c>
      <c r="E23" s="16" t="n">
        <v>2</v>
      </c>
      <c r="F23" s="37" t="s">
        <v>215</v>
      </c>
      <c r="G23" s="14" t="s">
        <v>216</v>
      </c>
    </row>
    <row r="24" customFormat="false" ht="21.75" hidden="false" customHeight="true" outlineLevel="0" collapsed="false">
      <c r="A24" s="36" t="s">
        <v>126</v>
      </c>
      <c r="B24" s="7" t="s">
        <v>127</v>
      </c>
      <c r="C24" s="7" t="s">
        <v>109</v>
      </c>
      <c r="D24" s="9" t="n">
        <v>1</v>
      </c>
      <c r="E24" s="9" t="n">
        <v>2</v>
      </c>
      <c r="F24" s="37" t="s">
        <v>215</v>
      </c>
      <c r="G24" s="7" t="s">
        <v>216</v>
      </c>
    </row>
    <row r="25" customFormat="false" ht="21.75" hidden="false" customHeight="true" outlineLevel="0" collapsed="false">
      <c r="A25" s="35" t="s">
        <v>129</v>
      </c>
      <c r="B25" s="14" t="s">
        <v>130</v>
      </c>
      <c r="C25" s="14" t="s">
        <v>109</v>
      </c>
      <c r="D25" s="16" t="n">
        <v>1</v>
      </c>
      <c r="E25" s="16" t="n">
        <v>2</v>
      </c>
      <c r="F25" s="37" t="s">
        <v>215</v>
      </c>
      <c r="G25" s="14" t="s">
        <v>216</v>
      </c>
    </row>
    <row r="26" customFormat="false" ht="21.75" hidden="false" customHeight="true" outlineLevel="0" collapsed="false">
      <c r="A26" s="36" t="s">
        <v>178</v>
      </c>
      <c r="B26" s="7" t="s">
        <v>179</v>
      </c>
      <c r="C26" s="7" t="s">
        <v>168</v>
      </c>
      <c r="D26" s="9" t="n">
        <v>1</v>
      </c>
      <c r="E26" s="9" t="n">
        <v>2</v>
      </c>
      <c r="F26" s="37" t="s">
        <v>215</v>
      </c>
      <c r="G26" s="7" t="s">
        <v>216</v>
      </c>
    </row>
    <row r="27" customFormat="false" ht="21.75" hidden="false" customHeight="true" outlineLevel="0" collapsed="false">
      <c r="A27" s="35" t="s">
        <v>55</v>
      </c>
      <c r="B27" s="14" t="s">
        <v>56</v>
      </c>
      <c r="C27" s="14" t="s">
        <v>42</v>
      </c>
      <c r="D27" s="16" t="n">
        <v>2</v>
      </c>
      <c r="E27" s="16" t="n">
        <v>1</v>
      </c>
      <c r="F27" s="11" t="s">
        <v>217</v>
      </c>
      <c r="G27" s="14" t="s">
        <v>218</v>
      </c>
    </row>
    <row r="28" customFormat="false" ht="21.75" hidden="false" customHeight="true" outlineLevel="0" collapsed="false">
      <c r="A28" s="36" t="s">
        <v>84</v>
      </c>
      <c r="B28" s="7" t="s">
        <v>85</v>
      </c>
      <c r="C28" s="7" t="s">
        <v>79</v>
      </c>
      <c r="D28" s="9" t="n">
        <v>2</v>
      </c>
      <c r="E28" s="9" t="n">
        <v>1</v>
      </c>
      <c r="F28" s="11" t="s">
        <v>217</v>
      </c>
      <c r="G28" s="7" t="s">
        <v>218</v>
      </c>
    </row>
    <row r="29" customFormat="false" ht="21.75" hidden="false" customHeight="true" outlineLevel="0" collapsed="false">
      <c r="A29" s="35" t="s">
        <v>107</v>
      </c>
      <c r="B29" s="14" t="s">
        <v>108</v>
      </c>
      <c r="C29" s="14" t="s">
        <v>109</v>
      </c>
      <c r="D29" s="16" t="n">
        <v>2</v>
      </c>
      <c r="E29" s="16" t="n">
        <v>2</v>
      </c>
      <c r="F29" s="37" t="s">
        <v>215</v>
      </c>
      <c r="G29" s="14" t="s">
        <v>216</v>
      </c>
    </row>
    <row r="30" customFormat="false" ht="21.75" hidden="false" customHeight="true" outlineLevel="0" collapsed="false">
      <c r="A30" s="36" t="s">
        <v>115</v>
      </c>
      <c r="B30" s="7" t="s">
        <v>116</v>
      </c>
      <c r="C30" s="7" t="s">
        <v>109</v>
      </c>
      <c r="D30" s="9" t="n">
        <v>2</v>
      </c>
      <c r="E30" s="9" t="n">
        <v>2</v>
      </c>
      <c r="F30" s="37" t="s">
        <v>215</v>
      </c>
      <c r="G30" s="7" t="s">
        <v>216</v>
      </c>
    </row>
    <row r="31" customFormat="false" ht="21.75" hidden="false" customHeight="true" outlineLevel="0" collapsed="false">
      <c r="A31" s="35" t="s">
        <v>166</v>
      </c>
      <c r="B31" s="14" t="s">
        <v>167</v>
      </c>
      <c r="C31" s="14" t="s">
        <v>168</v>
      </c>
      <c r="D31" s="16" t="n">
        <v>2</v>
      </c>
      <c r="E31" s="16" t="n">
        <v>2</v>
      </c>
      <c r="F31" s="37" t="s">
        <v>215</v>
      </c>
      <c r="G31" s="14" t="s">
        <v>216</v>
      </c>
    </row>
    <row r="32" customFormat="false" ht="21.75" hidden="false" customHeight="true" outlineLevel="0" collapsed="false">
      <c r="A32" s="36" t="s">
        <v>170</v>
      </c>
      <c r="B32" s="7" t="s">
        <v>171</v>
      </c>
      <c r="C32" s="7" t="s">
        <v>168</v>
      </c>
      <c r="D32" s="9" t="n">
        <v>2</v>
      </c>
      <c r="E32" s="9" t="n">
        <v>2</v>
      </c>
      <c r="F32" s="37" t="s">
        <v>215</v>
      </c>
      <c r="G32" s="7" t="s">
        <v>216</v>
      </c>
    </row>
    <row r="33" customFormat="false" ht="21.75" hidden="false" customHeight="true" outlineLevel="0" collapsed="false">
      <c r="A33" s="35" t="s">
        <v>172</v>
      </c>
      <c r="B33" s="14" t="s">
        <v>173</v>
      </c>
      <c r="C33" s="14" t="s">
        <v>168</v>
      </c>
      <c r="D33" s="16" t="n">
        <v>2</v>
      </c>
      <c r="E33" s="16" t="n">
        <v>2</v>
      </c>
      <c r="F33" s="37" t="s">
        <v>215</v>
      </c>
      <c r="G33" s="14" t="s">
        <v>216</v>
      </c>
    </row>
    <row r="34" customFormat="false" ht="21.75" hidden="false" customHeight="true" outlineLevel="0" collapsed="false">
      <c r="A34" s="36" t="s">
        <v>182</v>
      </c>
      <c r="B34" s="7" t="s">
        <v>183</v>
      </c>
      <c r="C34" s="7" t="s">
        <v>168</v>
      </c>
      <c r="D34" s="9" t="n">
        <v>2</v>
      </c>
      <c r="E34" s="9" t="n">
        <v>2</v>
      </c>
      <c r="F34" s="37" t="s">
        <v>215</v>
      </c>
      <c r="G34" s="7" t="s">
        <v>216</v>
      </c>
    </row>
    <row r="35" customFormat="false" ht="21.75" hidden="false" customHeight="true" outlineLevel="0" collapsed="false">
      <c r="A35" s="35" t="s">
        <v>40</v>
      </c>
      <c r="B35" s="14" t="s">
        <v>41</v>
      </c>
      <c r="C35" s="14" t="s">
        <v>42</v>
      </c>
      <c r="D35" s="16" t="n">
        <v>3</v>
      </c>
      <c r="E35" s="16" t="n">
        <v>1</v>
      </c>
      <c r="F35" s="11" t="s">
        <v>217</v>
      </c>
      <c r="G35" s="14" t="s">
        <v>218</v>
      </c>
    </row>
    <row r="36" customFormat="false" ht="21.75" hidden="false" customHeight="true" outlineLevel="0" collapsed="false">
      <c r="A36" s="36" t="s">
        <v>45</v>
      </c>
      <c r="B36" s="7" t="s">
        <v>46</v>
      </c>
      <c r="C36" s="7" t="s">
        <v>42</v>
      </c>
      <c r="D36" s="9" t="n">
        <v>3</v>
      </c>
      <c r="E36" s="9" t="n">
        <v>1</v>
      </c>
      <c r="F36" s="11" t="s">
        <v>217</v>
      </c>
      <c r="G36" s="7" t="s">
        <v>218</v>
      </c>
    </row>
    <row r="37" customFormat="false" ht="21.75" hidden="false" customHeight="true" outlineLevel="0" collapsed="false">
      <c r="A37" s="35" t="s">
        <v>145</v>
      </c>
      <c r="B37" s="14" t="s">
        <v>146</v>
      </c>
      <c r="C37" s="14" t="s">
        <v>138</v>
      </c>
      <c r="D37" s="16" t="n">
        <v>3</v>
      </c>
      <c r="E37" s="16" t="n">
        <v>3</v>
      </c>
      <c r="F37" s="37" t="s">
        <v>215</v>
      </c>
      <c r="G37" s="14" t="s">
        <v>216</v>
      </c>
    </row>
    <row r="38" customFormat="false" ht="21.75" hidden="false" customHeight="true" outlineLevel="0" collapsed="false">
      <c r="A38" s="36" t="s">
        <v>174</v>
      </c>
      <c r="B38" s="7" t="s">
        <v>175</v>
      </c>
      <c r="C38" s="7" t="s">
        <v>168</v>
      </c>
      <c r="D38" s="9" t="n">
        <v>3</v>
      </c>
      <c r="E38" s="9" t="n">
        <v>2</v>
      </c>
      <c r="F38" s="11" t="s">
        <v>217</v>
      </c>
      <c r="G38" s="7" t="s">
        <v>218</v>
      </c>
    </row>
    <row r="39" customFormat="false" ht="21.75" hidden="false" customHeight="true" outlineLevel="0" collapsed="false">
      <c r="A39" s="35" t="s">
        <v>184</v>
      </c>
      <c r="B39" s="14" t="s">
        <v>185</v>
      </c>
      <c r="C39" s="14" t="s">
        <v>168</v>
      </c>
      <c r="D39" s="16" t="n">
        <v>3</v>
      </c>
      <c r="E39" s="16" t="n">
        <v>2</v>
      </c>
      <c r="F39" s="11" t="s">
        <v>217</v>
      </c>
      <c r="G39" s="14" t="s">
        <v>218</v>
      </c>
    </row>
    <row r="40" customFormat="false" ht="21.75" hidden="false" customHeight="true" outlineLevel="0" collapsed="false">
      <c r="A40" s="36" t="s">
        <v>33</v>
      </c>
      <c r="B40" s="7" t="s">
        <v>34</v>
      </c>
      <c r="C40" s="7" t="s">
        <v>19</v>
      </c>
      <c r="D40" s="9" t="n">
        <v>4</v>
      </c>
      <c r="E40" s="9" t="n">
        <v>2</v>
      </c>
      <c r="F40" s="11" t="s">
        <v>217</v>
      </c>
      <c r="G40" s="7" t="s">
        <v>218</v>
      </c>
    </row>
    <row r="41" customFormat="false" ht="21.75" hidden="false" customHeight="true" outlineLevel="0" collapsed="false">
      <c r="A41" s="35" t="s">
        <v>66</v>
      </c>
      <c r="B41" s="14" t="s">
        <v>67</v>
      </c>
      <c r="C41" s="14" t="s">
        <v>59</v>
      </c>
      <c r="D41" s="16" t="n">
        <v>4</v>
      </c>
      <c r="E41" s="16" t="n">
        <v>2</v>
      </c>
      <c r="F41" s="11" t="s">
        <v>217</v>
      </c>
      <c r="G41" s="14" t="s">
        <v>218</v>
      </c>
    </row>
    <row r="42" customFormat="false" ht="21.75" hidden="false" customHeight="true" outlineLevel="0" collapsed="false">
      <c r="A42" s="36" t="s">
        <v>100</v>
      </c>
      <c r="B42" s="7" t="s">
        <v>101</v>
      </c>
      <c r="C42" s="7" t="s">
        <v>89</v>
      </c>
      <c r="D42" s="9" t="n">
        <v>4</v>
      </c>
      <c r="E42" s="9" t="n">
        <v>2</v>
      </c>
      <c r="F42" s="11" t="s">
        <v>217</v>
      </c>
      <c r="G42" s="7" t="s">
        <v>218</v>
      </c>
    </row>
    <row r="43" customFormat="false" ht="21.75" hidden="false" customHeight="true" outlineLevel="0" collapsed="false">
      <c r="A43" s="35" t="s">
        <v>140</v>
      </c>
      <c r="B43" s="14" t="s">
        <v>141</v>
      </c>
      <c r="C43" s="14" t="s">
        <v>138</v>
      </c>
      <c r="D43" s="16" t="n">
        <v>4</v>
      </c>
      <c r="E43" s="16" t="n">
        <v>3</v>
      </c>
      <c r="F43" s="11" t="s">
        <v>217</v>
      </c>
      <c r="G43" s="14" t="s">
        <v>218</v>
      </c>
    </row>
    <row r="44" customFormat="false" ht="21.75" hidden="false" customHeight="true" outlineLevel="0" collapsed="false">
      <c r="A44" s="36" t="s">
        <v>160</v>
      </c>
      <c r="B44" s="7" t="s">
        <v>161</v>
      </c>
      <c r="C44" s="7" t="s">
        <v>138</v>
      </c>
      <c r="D44" s="9" t="n">
        <v>4</v>
      </c>
      <c r="E44" s="9" t="n">
        <v>3</v>
      </c>
      <c r="F44" s="11" t="s">
        <v>217</v>
      </c>
      <c r="G44" s="7" t="s">
        <v>218</v>
      </c>
    </row>
    <row r="45" customFormat="false" ht="21.75" hidden="false" customHeight="true" outlineLevel="0" collapsed="false">
      <c r="A45" s="35" t="s">
        <v>148</v>
      </c>
      <c r="B45" s="14" t="s">
        <v>149</v>
      </c>
      <c r="C45" s="14" t="s">
        <v>138</v>
      </c>
      <c r="D45" s="16" t="n">
        <v>5</v>
      </c>
      <c r="E45" s="16" t="n">
        <v>3</v>
      </c>
      <c r="F45" s="11" t="s">
        <v>217</v>
      </c>
      <c r="G45" s="14" t="s">
        <v>218</v>
      </c>
    </row>
    <row r="46" customFormat="false" ht="21.75" hidden="false" customHeight="true" outlineLevel="0" collapsed="false">
      <c r="A46" s="36" t="s">
        <v>95</v>
      </c>
      <c r="B46" s="7" t="s">
        <v>96</v>
      </c>
      <c r="C46" s="7" t="s">
        <v>89</v>
      </c>
      <c r="D46" s="9" t="n">
        <v>6</v>
      </c>
      <c r="E46" s="9" t="n">
        <v>2</v>
      </c>
      <c r="F46" s="11" t="s">
        <v>217</v>
      </c>
      <c r="G46" s="7" t="s">
        <v>218</v>
      </c>
    </row>
    <row r="47" customFormat="false" ht="21.75" hidden="false" customHeight="true" outlineLevel="0" collapsed="false">
      <c r="A47" s="35" t="s">
        <v>118</v>
      </c>
      <c r="B47" s="14" t="s">
        <v>119</v>
      </c>
      <c r="C47" s="14" t="s">
        <v>109</v>
      </c>
      <c r="D47" s="16" t="n">
        <v>6</v>
      </c>
      <c r="E47" s="16" t="n">
        <v>2</v>
      </c>
      <c r="F47" s="11" t="s">
        <v>217</v>
      </c>
      <c r="G47" s="14" t="s">
        <v>218</v>
      </c>
    </row>
    <row r="48" customFormat="false" ht="21.75" hidden="false" customHeight="true" outlineLevel="0" collapsed="false">
      <c r="A48" s="36" t="s">
        <v>35</v>
      </c>
      <c r="B48" s="7" t="s">
        <v>36</v>
      </c>
      <c r="C48" s="7" t="s">
        <v>19</v>
      </c>
      <c r="D48" s="9" t="n">
        <v>7</v>
      </c>
      <c r="E48" s="9" t="n">
        <v>2</v>
      </c>
      <c r="F48" s="11" t="s">
        <v>217</v>
      </c>
      <c r="G48" s="7" t="s">
        <v>218</v>
      </c>
    </row>
    <row r="49" customFormat="false" ht="21.75" hidden="false" customHeight="true" outlineLevel="0" collapsed="false">
      <c r="A49" s="35" t="s">
        <v>151</v>
      </c>
      <c r="B49" s="14" t="s">
        <v>152</v>
      </c>
      <c r="C49" s="14" t="s">
        <v>138</v>
      </c>
      <c r="D49" s="16" t="n">
        <v>7</v>
      </c>
      <c r="E49" s="16" t="n">
        <v>3</v>
      </c>
      <c r="F49" s="11" t="s">
        <v>217</v>
      </c>
      <c r="G49" s="14" t="s">
        <v>218</v>
      </c>
    </row>
    <row r="50" customFormat="false" ht="21.75" hidden="false" customHeight="true" outlineLevel="0" collapsed="false">
      <c r="A50" s="36" t="s">
        <v>26</v>
      </c>
      <c r="B50" s="7" t="s">
        <v>27</v>
      </c>
      <c r="C50" s="7" t="s">
        <v>19</v>
      </c>
      <c r="D50" s="9" t="n">
        <v>10</v>
      </c>
      <c r="E50" s="9" t="n">
        <v>2</v>
      </c>
      <c r="F50" s="11" t="s">
        <v>217</v>
      </c>
      <c r="G50" s="7" t="s">
        <v>218</v>
      </c>
    </row>
    <row r="51" customFormat="false" ht="21.75" hidden="false" customHeight="true" outlineLevel="0" collapsed="false">
      <c r="A51" s="35" t="s">
        <v>122</v>
      </c>
      <c r="B51" s="14" t="s">
        <v>123</v>
      </c>
      <c r="C51" s="14" t="s">
        <v>109</v>
      </c>
      <c r="D51" s="16" t="n">
        <v>11</v>
      </c>
      <c r="E51" s="16" t="n">
        <v>2</v>
      </c>
      <c r="F51" s="11" t="s">
        <v>217</v>
      </c>
      <c r="G51" s="14" t="s">
        <v>218</v>
      </c>
    </row>
    <row r="52" customFormat="false" ht="21.75" hidden="false" customHeight="true" outlineLevel="0" collapsed="false">
      <c r="A52" s="36" t="s">
        <v>136</v>
      </c>
      <c r="B52" s="7" t="s">
        <v>137</v>
      </c>
      <c r="C52" s="7" t="s">
        <v>138</v>
      </c>
      <c r="D52" s="9" t="n">
        <v>16</v>
      </c>
      <c r="E52" s="9" t="n">
        <v>3</v>
      </c>
      <c r="F52" s="11" t="s">
        <v>217</v>
      </c>
      <c r="G52" s="7" t="s">
        <v>218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2026-05-06T18:13:37Z</dcterms:created>
  <dc:creator>openpyxl</dc:creator>
  <dc:description/>
  <dc:language>en-US</dc:language>
  <cp:lastModifiedBy/>
  <dcterms:modified xsi:type="dcterms:W3CDTF">2026-05-06T18:13:37Z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